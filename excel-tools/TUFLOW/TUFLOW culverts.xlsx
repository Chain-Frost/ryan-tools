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Library\Automation\ryan-tools\excel-tools\TUFLOW\"/>
    </mc:Choice>
  </mc:AlternateContent>
  <xr:revisionPtr revIDLastSave="0" documentId="13_ncr:1_{6B1FD732-8613-4E7D-8C0C-144966B305FB}" xr6:coauthVersionLast="47" xr6:coauthVersionMax="47" xr10:uidLastSave="{00000000-0000-0000-0000-000000000000}"/>
  <bookViews>
    <workbookView xWindow="-28920" yWindow="-105" windowWidth="29040" windowHeight="15990" activeTab="7" xr2:uid="{E3DA6305-D416-4E8B-9542-2B12224CB6DD}"/>
  </bookViews>
  <sheets>
    <sheet name="12D-Road.rpt" sheetId="13" r:id="rId1"/>
    <sheet name="12D-Culverts.rpt" sheetId="12" r:id="rId2"/>
    <sheet name="1d_nwk-import" sheetId="15" r:id="rId3"/>
    <sheet name="PointsTidy -from 1dnwk" sheetId="16" r:id="rId4"/>
    <sheet name="PointsTidy - 12D" sheetId="17" r:id="rId5"/>
    <sheet name="ProcessAngle" sheetId="14" r:id="rId6"/>
    <sheet name="PointsTidy - master" sheetId="1" r:id="rId7"/>
    <sheet name="2d_bc" sheetId="5" r:id="rId8"/>
    <sheet name="2d_zsh" sheetId="2" r:id="rId9"/>
    <sheet name="1d_nwk" sheetId="8" r:id="rId10"/>
  </sheets>
  <externalReferences>
    <externalReference r:id="rId11"/>
  </externalReferences>
  <definedNames>
    <definedName name="_2__123Graph_ACHART_1" hidden="1">[1]Slope!$B$10:$B$150</definedName>
    <definedName name="_4__123Graph_BCHART_1" hidden="1">[1]Slope!$C$10:$C$150</definedName>
    <definedName name="_6__123Graph_CCHART_1" hidden="1">[1]Slope!$F$10:$F$150</definedName>
    <definedName name="_Fill" hidden="1">[1]Slope!$A$10:$A$17</definedName>
    <definedName name="a">'2d_bc'!$AB$8</definedName>
    <definedName name="b">'2d_bc'!$AB$9</definedName>
    <definedName name="Connection">'2d_bc'!$AB$1</definedName>
    <definedName name="d">'2d_bc'!$AB$6</definedName>
    <definedName name="dZ">'2d_zsh'!$AH$8</definedName>
    <definedName name="External">'2d_bc'!$AB$2</definedName>
    <definedName name="f">'2d_bc'!$AB$5</definedName>
    <definedName name="Flags">'2d_bc'!$AB$3</definedName>
    <definedName name="grid_factor">'2d_zsh'!$AH$3</definedName>
    <definedName name="grid_size">'2d_zsh'!$AH$2</definedName>
    <definedName name="LengthFactor">'2d_bc'!$AB$10</definedName>
    <definedName name="max_width">'2d_zsh'!$AH$5</definedName>
    <definedName name="min_width">'2d_zsh'!$AH$6</definedName>
    <definedName name="MinLength">'2d_bc'!$AB$15</definedName>
    <definedName name="Name">'2d_bc'!$AB$4</definedName>
    <definedName name="PaddingFactor">'2d_zsh'!$AH$11</definedName>
    <definedName name="pipe_factor">'2d_zsh'!$AH$4</definedName>
    <definedName name="PipeEnds">'2d_zsh'!$AH$14</definedName>
    <definedName name="PipeSpacing">'2d_zsh'!$AH$13</definedName>
    <definedName name="Shape_Options">'2d_zsh'!$AH$10</definedName>
    <definedName name="Shape_width_or_dMax">'2d_zsh'!$AH$9</definedName>
    <definedName name="td">'2d_bc'!$AB$7</definedName>
    <definedName name="WidthFactor">'2d_bc'!$AB$11</definedName>
    <definedName name="wrn.4121_C_004." hidden="1">{"page 1",#N/A,TRUE,"Flood Design_4121-C-004";"page 3",#N/A,TRUE,"Design Flood&amp;Culverts";"page 5",#N/A,TRUE,"Formulae Protection";"page 2",#N/A,TRUE,"Flavell Formulae";"page 4",#N/A,TRUE,"Culvert Schedule";"page 6",#N/A,TRUE,"revet_cut";"page 7",#N/A,TRUE,"Formulaes revet";"page 9",#N/A,TRUE,"Formulae Coords";"page 8",#N/A,TRUE,"coords"}</definedName>
    <definedName name="wrn.Calculations." hidden="1">{#N/A,#N/A,TRUE,"Readme";#N/A,#N/A,TRUE,"Sheet1";#N/A,#N/A,TRUE,"ddha7"}</definedName>
    <definedName name="Z_shift">'2d_zsh'!$AH$7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7" i="16" l="1"/>
  <c r="AA16" i="16"/>
  <c r="AA15" i="16"/>
  <c r="AC4" i="16" a="1"/>
  <c r="AC4" i="16" s="1"/>
  <c r="Z3" i="16"/>
  <c r="AA14" i="16"/>
  <c r="AA13" i="16"/>
  <c r="AA12" i="16"/>
  <c r="AA11" i="16"/>
  <c r="AA10" i="16"/>
  <c r="AA9" i="16"/>
  <c r="AA8" i="16"/>
  <c r="AA7" i="16"/>
  <c r="AA6" i="16"/>
  <c r="AA5" i="16"/>
  <c r="AA14" i="17"/>
  <c r="AA13" i="17"/>
  <c r="AA12" i="17"/>
  <c r="AA11" i="17"/>
  <c r="AA10" i="17"/>
  <c r="AA9" i="17"/>
  <c r="AA8" i="17"/>
  <c r="AA7" i="17"/>
  <c r="AA6" i="17"/>
  <c r="AA5" i="17"/>
  <c r="AC4" i="17" a="1"/>
  <c r="AC4" i="17" s="1"/>
  <c r="Z3" i="17"/>
  <c r="AH2" i="2"/>
  <c r="M2" i="14" a="1"/>
  <c r="M2" i="14" s="1"/>
  <c r="AB6" i="16"/>
  <c r="AE19" i="17"/>
  <c r="AB5" i="16"/>
  <c r="AC17" i="16" l="1"/>
  <c r="AC16" i="16"/>
  <c r="AC15" i="16"/>
  <c r="AC8" i="17"/>
  <c r="AC12" i="17"/>
  <c r="AC9" i="17"/>
  <c r="AC11" i="17"/>
  <c r="AC6" i="17"/>
  <c r="AC7" i="17"/>
  <c r="AB4" i="17"/>
  <c r="AC13" i="17"/>
  <c r="AC10" i="17"/>
  <c r="AC14" i="17"/>
  <c r="AC5" i="17"/>
  <c r="AC14" i="16"/>
  <c r="AC11" i="16"/>
  <c r="AC8" i="16"/>
  <c r="AC10" i="16"/>
  <c r="AC12" i="16"/>
  <c r="AC9" i="16"/>
  <c r="AC13" i="16"/>
  <c r="AC6" i="16"/>
  <c r="AC7" i="16"/>
  <c r="AC5" i="16"/>
  <c r="D2" i="14" a="1"/>
  <c r="D2" i="14" s="1"/>
  <c r="K2" i="14" s="1" a="1"/>
  <c r="K2" i="14" s="1"/>
  <c r="L2" i="14" s="1" a="1"/>
  <c r="L2" i="14" s="1"/>
  <c r="A2" i="14" a="1"/>
  <c r="A2" i="14" s="1"/>
  <c r="E2" i="14" s="1" a="1"/>
  <c r="E2" i="14" s="1"/>
  <c r="B2" i="14" a="1"/>
  <c r="B2" i="14" s="1"/>
  <c r="F2" i="14" s="1" a="1"/>
  <c r="F2" i="14" s="1"/>
  <c r="C2" i="14" a="1"/>
  <c r="C2" i="14" s="1"/>
  <c r="G2" i="14" s="1" a="1"/>
  <c r="G2" i="14" s="1"/>
  <c r="AB13" i="16"/>
  <c r="AB12" i="16"/>
  <c r="AB12" i="17"/>
  <c r="B4" i="16" a="1"/>
  <c r="AB5" i="17"/>
  <c r="B4" i="16" l="1"/>
  <c r="B4" i="1" s="1" a="1"/>
  <c r="B4" i="1" s="1"/>
  <c r="AA17" i="1" s="1"/>
  <c r="C4" i="16" a="1"/>
  <c r="C4" i="16" s="1"/>
  <c r="C4" i="1" s="1" a="1"/>
  <c r="C4" i="1" s="1"/>
  <c r="H2" i="14" a="1"/>
  <c r="H2" i="14" s="1"/>
  <c r="I2" i="14" s="1" a="1"/>
  <c r="I2" i="14" s="1"/>
  <c r="J2" i="14" s="1" a="1"/>
  <c r="J2" i="14" s="1"/>
  <c r="H4" i="16" a="1"/>
  <c r="AB13" i="17"/>
  <c r="J4" i="16" a="1"/>
  <c r="B4" i="17" a="1"/>
  <c r="AB6" i="17"/>
  <c r="H4" i="16" l="1"/>
  <c r="H4" i="1" s="1" a="1"/>
  <c r="H4" i="1" s="1"/>
  <c r="J4" i="16"/>
  <c r="B4" i="17"/>
  <c r="V4" i="16" a="1"/>
  <c r="V4" i="16" s="1"/>
  <c r="V4" i="1" s="1" a="1"/>
  <c r="V4" i="1" s="1"/>
  <c r="AB4" i="5"/>
  <c r="X4" i="17" a="1"/>
  <c r="U4" i="16" a="1"/>
  <c r="C4" i="17" a="1"/>
  <c r="K4" i="16" a="1"/>
  <c r="E4" i="16" a="1"/>
  <c r="X4" i="17" l="1"/>
  <c r="U4" i="17" s="1" a="1"/>
  <c r="U4" i="17" s="1"/>
  <c r="J4" i="1" a="1"/>
  <c r="J4" i="1" s="1"/>
  <c r="I4" i="16" a="1"/>
  <c r="I4" i="16" s="1"/>
  <c r="L96" i="16" a="1"/>
  <c r="L96" i="16" s="1"/>
  <c r="U4" i="16"/>
  <c r="U4" i="1" s="1" a="1"/>
  <c r="U4" i="1" s="1"/>
  <c r="K4" i="16"/>
  <c r="K4" i="1" s="1" a="1"/>
  <c r="K4" i="1" s="1"/>
  <c r="E4" i="16"/>
  <c r="E4" i="1" s="1" a="1"/>
  <c r="E4" i="1" s="1"/>
  <c r="C4" i="17"/>
  <c r="AM2" i="17" a="1"/>
  <c r="AM2" i="17" s="1"/>
  <c r="AA17" i="17"/>
  <c r="D4" i="17" a="1"/>
  <c r="D4" i="17" s="1"/>
  <c r="A4" i="17" a="1"/>
  <c r="A4" i="17" s="1"/>
  <c r="C1" i="16" a="1"/>
  <c r="C1" i="16" s="1"/>
  <c r="A4" i="16" a="1"/>
  <c r="A4" i="16" s="1"/>
  <c r="AA20" i="16"/>
  <c r="D4" i="16" a="1"/>
  <c r="AH6" i="2"/>
  <c r="G4" i="17" a="1"/>
  <c r="M4" i="17" a="1"/>
  <c r="F4" i="17" a="1"/>
  <c r="G4" i="16" a="1"/>
  <c r="T4" i="16" a="1"/>
  <c r="I4" i="17" a="1"/>
  <c r="F4" i="16" a="1"/>
  <c r="E4" i="17" a="1"/>
  <c r="L4" i="17" a="1"/>
  <c r="H4" i="17" a="1"/>
  <c r="A4" i="1" l="1" a="1"/>
  <c r="A4" i="1" s="1"/>
  <c r="I4" i="1" a="1"/>
  <c r="I4" i="1" s="1"/>
  <c r="D4" i="16"/>
  <c r="F4" i="16"/>
  <c r="F4" i="1" s="1" a="1"/>
  <c r="F4" i="1" s="1"/>
  <c r="G4" i="16"/>
  <c r="G4" i="1" s="1" a="1"/>
  <c r="G4" i="1" s="1"/>
  <c r="T4" i="16"/>
  <c r="W4" i="17" a="1"/>
  <c r="W4" i="17" s="1"/>
  <c r="AA16" i="17" s="1"/>
  <c r="E4" i="17"/>
  <c r="I4" i="17"/>
  <c r="H4" i="17"/>
  <c r="L4" i="17"/>
  <c r="Q4" i="17" a="1"/>
  <c r="Q4" i="17" s="1"/>
  <c r="M4" i="17"/>
  <c r="R4" i="17" a="1"/>
  <c r="R4" i="17" s="1"/>
  <c r="F4" i="17"/>
  <c r="G4" i="17"/>
  <c r="V4" i="17" a="1"/>
  <c r="V4" i="17" s="1"/>
  <c r="C1" i="17" a="1"/>
  <c r="C1" i="17" s="1"/>
  <c r="AM2" i="1" a="1"/>
  <c r="AM2" i="1" s="1"/>
  <c r="AN2" i="1" s="1" a="1"/>
  <c r="AN2" i="1" s="1"/>
  <c r="AC18" i="8"/>
  <c r="A2" i="8" s="1" a="1"/>
  <c r="A2" i="8" s="1"/>
  <c r="AH12" i="2"/>
  <c r="A2" i="2" s="1" a="1"/>
  <c r="A2" i="2" s="1"/>
  <c r="B2" i="8" a="1"/>
  <c r="B2" i="8" s="1"/>
  <c r="AB12" i="5"/>
  <c r="AB13" i="5" s="1"/>
  <c r="C1" i="1" a="1"/>
  <c r="C1" i="1" s="1"/>
  <c r="T4" i="1" l="1" a="1"/>
  <c r="T4" i="1" s="1"/>
  <c r="X4" i="16" a="1"/>
  <c r="X4" i="16" s="1"/>
  <c r="X4" i="1" s="1" a="1"/>
  <c r="X4" i="1" s="1"/>
  <c r="L4" i="16" a="1"/>
  <c r="L4" i="16" s="1"/>
  <c r="L4" i="1" s="1" a="1"/>
  <c r="L4" i="1" s="1"/>
  <c r="F2" i="8" s="1" a="1"/>
  <c r="F2" i="8" s="1"/>
  <c r="D4" i="1" a="1"/>
  <c r="D4" i="1" s="1"/>
  <c r="M4" i="16" a="1"/>
  <c r="M4" i="16" s="1"/>
  <c r="M4" i="1" s="1" a="1"/>
  <c r="M4" i="1" s="1"/>
  <c r="G2" i="8" s="1" a="1"/>
  <c r="G2" i="8" s="1"/>
  <c r="N4" i="17" a="1"/>
  <c r="N4" i="17" s="1"/>
  <c r="S4" i="17" a="1"/>
  <c r="S4" i="17" s="1"/>
  <c r="S4" i="16" a="1"/>
  <c r="S4" i="16" s="1"/>
  <c r="S4" i="1" s="1" a="1"/>
  <c r="S4" i="1" s="1"/>
  <c r="N4" i="16" a="1"/>
  <c r="N4" i="16" s="1"/>
  <c r="N4" i="1" s="1" a="1"/>
  <c r="N4" i="1" s="1"/>
  <c r="O4" i="17" a="1"/>
  <c r="O4" i="17" s="1"/>
  <c r="P4" i="17" s="1" a="1"/>
  <c r="P4" i="17" s="1"/>
  <c r="K4" i="17" a="1"/>
  <c r="K4" i="17" s="1"/>
  <c r="J4" i="17" a="1"/>
  <c r="J4" i="17" s="1"/>
  <c r="W4" i="1" a="1"/>
  <c r="W4" i="1" s="1"/>
  <c r="AA16" i="1" s="1"/>
  <c r="E2" i="8" a="1"/>
  <c r="E2" i="8" s="1"/>
  <c r="V2" i="8" a="1"/>
  <c r="V2" i="8" s="1"/>
  <c r="M2" i="8" a="1"/>
  <c r="M2" i="8" s="1"/>
  <c r="D2" i="8" a="1"/>
  <c r="D2" i="8" s="1"/>
  <c r="I2" i="2" a="1"/>
  <c r="I2" i="2" s="1"/>
  <c r="H2" i="2" a="1"/>
  <c r="H2" i="2" s="1"/>
  <c r="B2" i="2" a="1"/>
  <c r="B2" i="2" s="1"/>
  <c r="M2" i="2" s="1" a="1"/>
  <c r="M2" i="2" s="1"/>
  <c r="G2" i="2" a="1"/>
  <c r="G2" i="2" s="1"/>
  <c r="AG18" i="2"/>
  <c r="AA17" i="5"/>
  <c r="AB2" i="8"/>
  <c r="Z2" i="8" s="1" a="1"/>
  <c r="Z2" i="8" s="1"/>
  <c r="A2" i="5" a="1"/>
  <c r="R4" i="16" l="1" a="1"/>
  <c r="R4" i="16" s="1"/>
  <c r="R4" i="1" s="1" a="1"/>
  <c r="R4" i="1" s="1"/>
  <c r="Q4" i="16" a="1"/>
  <c r="Q4" i="16" s="1"/>
  <c r="Q4" i="1" s="1" a="1"/>
  <c r="Q4" i="1" s="1"/>
  <c r="C2" i="8" a="1"/>
  <c r="C2" i="8" s="1"/>
  <c r="U2" i="8" a="1"/>
  <c r="U2" i="8" s="1"/>
  <c r="T2" i="8" a="1"/>
  <c r="T2" i="8" s="1"/>
  <c r="W2" i="8" a="1"/>
  <c r="W2" i="8" s="1"/>
  <c r="S2" i="8" a="1"/>
  <c r="S2" i="8" s="1"/>
  <c r="O2" i="8" a="1"/>
  <c r="O2" i="8" s="1"/>
  <c r="L2" i="8" a="1"/>
  <c r="L2" i="8" s="1"/>
  <c r="H2" i="8" a="1"/>
  <c r="H2" i="8" s="1"/>
  <c r="J2" i="8" a="1"/>
  <c r="J2" i="8" s="1"/>
  <c r="X2" i="8" a="1"/>
  <c r="X2" i="8" s="1"/>
  <c r="Y2" i="8" a="1"/>
  <c r="Y2" i="8" s="1"/>
  <c r="P2" i="8" a="1"/>
  <c r="P2" i="8" s="1"/>
  <c r="Q2" i="8" a="1"/>
  <c r="Q2" i="8" s="1"/>
  <c r="I2" i="8" a="1"/>
  <c r="I2" i="8" s="1"/>
  <c r="N2" i="8" a="1"/>
  <c r="N2" i="8" s="1"/>
  <c r="R2" i="8" a="1"/>
  <c r="R2" i="8" s="1"/>
  <c r="A2" i="5"/>
  <c r="O4" i="16" l="1" a="1"/>
  <c r="O4" i="16" s="1"/>
  <c r="K2" i="5" a="1"/>
  <c r="K2" i="5" s="1"/>
  <c r="P2" i="5" a="1"/>
  <c r="P2" i="5" s="1"/>
  <c r="N2" i="5" a="1"/>
  <c r="N2" i="5" s="1"/>
  <c r="O2" i="5" a="1"/>
  <c r="O2" i="5" s="1"/>
  <c r="B2" i="5" a="1"/>
  <c r="B2" i="5" s="1"/>
  <c r="J2" i="5" s="1" a="1"/>
  <c r="J2" i="5" s="1"/>
  <c r="C2" i="5" a="1"/>
  <c r="C2" i="5" s="1"/>
  <c r="F2" i="5" a="1"/>
  <c r="F2" i="5" s="1"/>
  <c r="E2" i="5" a="1"/>
  <c r="E2" i="5" s="1"/>
  <c r="H2" i="5" a="1"/>
  <c r="H2" i="5" s="1"/>
  <c r="G2" i="5" a="1"/>
  <c r="G2" i="5" s="1"/>
  <c r="I2" i="5" a="1"/>
  <c r="I2" i="5" s="1"/>
  <c r="P4" i="16" l="1" a="1"/>
  <c r="P4" i="16" s="1"/>
  <c r="P4" i="1" s="1" a="1"/>
  <c r="P4" i="1" s="1"/>
  <c r="O4" i="1" a="1"/>
  <c r="O4" i="1" s="1"/>
  <c r="D2" i="5" a="1"/>
  <c r="D2" i="5" s="1"/>
  <c r="U2" i="5" a="1"/>
  <c r="U2" i="5" s="1"/>
  <c r="T2" i="5" a="1"/>
  <c r="T2" i="5" s="1"/>
  <c r="K2" i="8" l="1" a="1"/>
  <c r="K2" i="8" s="1"/>
  <c r="C2" i="2" a="1"/>
  <c r="C2" i="2" s="1"/>
  <c r="J2" i="2" a="1"/>
  <c r="J2" i="2" s="1"/>
  <c r="K2" i="2" l="1" a="1"/>
  <c r="K2" i="2" s="1"/>
  <c r="L2" i="2" a="1"/>
  <c r="L2" i="2" s="1"/>
  <c r="Q2" i="2" s="1" a="1"/>
  <c r="Q2" i="2" s="1"/>
  <c r="Y2" i="2" l="1" a="1"/>
  <c r="Y2" i="2" s="1"/>
  <c r="U2" i="2" a="1"/>
  <c r="U2" i="2" s="1"/>
  <c r="X2" i="2" a="1"/>
  <c r="X2" i="2" s="1"/>
  <c r="W2" i="2" a="1"/>
  <c r="W2" i="2" s="1"/>
  <c r="AA2" i="2" a="1"/>
  <c r="AB2" i="2" a="1"/>
  <c r="AB2" i="2" s="1"/>
  <c r="Z2" i="2" a="1"/>
  <c r="Z2" i="2" s="1"/>
  <c r="V2" i="2" a="1"/>
  <c r="V2" i="2" s="1"/>
  <c r="P2" i="2" l="1" a="1"/>
  <c r="P2" i="2" s="1"/>
  <c r="O2" i="2" s="1" a="1"/>
  <c r="O2" i="2" s="1"/>
  <c r="N2" i="2" s="1" a="1"/>
  <c r="N2" i="2" s="1"/>
  <c r="AA2" i="2"/>
  <c r="AE2" i="2" s="1" a="1"/>
  <c r="AE2" i="2" s="1"/>
  <c r="AC2" i="2" s="1" a="1"/>
  <c r="AC2" i="2" s="1"/>
  <c r="R2" i="5" s="1" a="1"/>
  <c r="R2" i="5" s="1"/>
  <c r="S2" i="2" a="1"/>
  <c r="S2" i="2" s="1"/>
  <c r="R2" i="2" a="1"/>
  <c r="R2" i="2" s="1"/>
  <c r="T2" i="2" a="1"/>
  <c r="T2" i="2" s="1"/>
  <c r="F2" i="2" s="1" a="1"/>
  <c r="F2" i="2" s="1"/>
  <c r="Q2" i="5" l="1" a="1"/>
  <c r="Q2" i="5" s="1"/>
  <c r="AD2" i="2" a="1"/>
  <c r="AD2" i="2" s="1"/>
  <c r="S2" i="5" s="1" a="1"/>
  <c r="S2" i="5" s="1"/>
  <c r="M2" i="5" l="1" a="1"/>
  <c r="M2" i="5" s="1"/>
  <c r="L2" i="5" a="1"/>
  <c r="L2" i="5" s="1"/>
  <c r="E2" i="2" a="1"/>
  <c r="E2" i="2" s="1"/>
  <c r="D2" i="2" a="1"/>
  <c r="D2" i="2" s="1"/>
  <c r="T4" i="17" a="1"/>
  <c r="T4" i="1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<sst xmlns="http://schemas.openxmlformats.org/spreadsheetml/2006/main" count="686" uniqueCount="293">
  <si>
    <t>ID</t>
  </si>
  <si>
    <t>US_Invert</t>
  </si>
  <si>
    <t>DS_invert</t>
  </si>
  <si>
    <t>Number_of</t>
  </si>
  <si>
    <t>Width_or_D</t>
  </si>
  <si>
    <t>vertex_ind</t>
  </si>
  <si>
    <t>xcoord</t>
  </si>
  <si>
    <t>ycoord</t>
  </si>
  <si>
    <t>zcoord</t>
  </si>
  <si>
    <t>grid size</t>
  </si>
  <si>
    <t>Diameter</t>
  </si>
  <si>
    <t>grid factor</t>
  </si>
  <si>
    <t>pipe factor</t>
  </si>
  <si>
    <t>max width</t>
  </si>
  <si>
    <t>min width</t>
  </si>
  <si>
    <t>ShapeWidth</t>
  </si>
  <si>
    <t>ShapeLength</t>
  </si>
  <si>
    <t>US</t>
  </si>
  <si>
    <t>Z</t>
  </si>
  <si>
    <t>dZ</t>
  </si>
  <si>
    <t>Shape_width_or_dMax</t>
  </si>
  <si>
    <t>Shape_Options</t>
  </si>
  <si>
    <t>Z_shift</t>
  </si>
  <si>
    <t>X1</t>
  </si>
  <si>
    <t>Y1</t>
  </si>
  <si>
    <t>Z1</t>
  </si>
  <si>
    <t>X0</t>
  </si>
  <si>
    <t>Y0</t>
  </si>
  <si>
    <t>Z0</t>
  </si>
  <si>
    <t>Xuse</t>
  </si>
  <si>
    <t>Yuse</t>
  </si>
  <si>
    <t>Zuse</t>
  </si>
  <si>
    <t>X</t>
  </si>
  <si>
    <t>Y</t>
  </si>
  <si>
    <t>Angle</t>
  </si>
  <si>
    <t>UseAngle</t>
  </si>
  <si>
    <t>Type</t>
  </si>
  <si>
    <t>Flags</t>
  </si>
  <si>
    <t>Name</t>
  </si>
  <si>
    <t>f</t>
  </si>
  <si>
    <t>d</t>
  </si>
  <si>
    <t>td</t>
  </si>
  <si>
    <t>a</t>
  </si>
  <si>
    <t>b</t>
  </si>
  <si>
    <t>CN</t>
  </si>
  <si>
    <t>SX</t>
  </si>
  <si>
    <t>Order</t>
  </si>
  <si>
    <t>Connection</t>
  </si>
  <si>
    <t>External</t>
  </si>
  <si>
    <t>X.</t>
  </si>
  <si>
    <t>Y.</t>
  </si>
  <si>
    <t>LengthFactor</t>
  </si>
  <si>
    <t>WidthFactor</t>
  </si>
  <si>
    <t>ID_Count</t>
  </si>
  <si>
    <t>Expected row</t>
  </si>
  <si>
    <t>PaddingFactor</t>
  </si>
  <si>
    <t>ExpectedRows</t>
  </si>
  <si>
    <t>Shape_Opti</t>
  </si>
  <si>
    <t>Shape_widt</t>
  </si>
  <si>
    <t>Ignore</t>
  </si>
  <si>
    <t>UCS</t>
  </si>
  <si>
    <t>Len_or_ANA</t>
  </si>
  <si>
    <t>n_nF_Cd</t>
  </si>
  <si>
    <t>DS_Invert</t>
  </si>
  <si>
    <t>Form_Loss</t>
  </si>
  <si>
    <t>pBlockage</t>
  </si>
  <si>
    <t>Inlet_Type</t>
  </si>
  <si>
    <t>Conn_1D_2D</t>
  </si>
  <si>
    <t>Conn_No</t>
  </si>
  <si>
    <t>Height_or_WF</t>
  </si>
  <si>
    <t>HConF_or_WC</t>
  </si>
  <si>
    <t>WConF_or_WEx</t>
  </si>
  <si>
    <t>EntryC_or_WSa</t>
  </si>
  <si>
    <t>ExitC_or_WSb</t>
  </si>
  <si>
    <t>C</t>
  </si>
  <si>
    <t>F</t>
  </si>
  <si>
    <t>T</t>
  </si>
  <si>
    <t xml:space="preserve"> </t>
  </si>
  <si>
    <t>MeasureLength</t>
  </si>
  <si>
    <t>AdjustedLength</t>
  </si>
  <si>
    <t>dx</t>
  </si>
  <si>
    <t>dy</t>
  </si>
  <si>
    <t>dz</t>
  </si>
  <si>
    <t>Expected</t>
  </si>
  <si>
    <t>Height_or_</t>
  </si>
  <si>
    <t>HConF_or_W</t>
  </si>
  <si>
    <t>WConF_or_W</t>
  </si>
  <si>
    <t>EntryC_or_</t>
  </si>
  <si>
    <t>ExitC_or_W</t>
  </si>
  <si>
    <t>TanAngle</t>
  </si>
  <si>
    <t>CulvertGroup</t>
  </si>
  <si>
    <t>GroupID</t>
  </si>
  <si>
    <t>MIN NO MERGE</t>
  </si>
  <si>
    <t>PipeSpacing</t>
  </si>
  <si>
    <t>PipeEnds</t>
  </si>
  <si>
    <t>US_DS</t>
  </si>
  <si>
    <t>Group</t>
  </si>
  <si>
    <t>Skew</t>
  </si>
  <si>
    <t>SkewAngle</t>
  </si>
  <si>
    <t>Cellsize</t>
  </si>
  <si>
    <t>MinLength</t>
  </si>
  <si>
    <t>NewName</t>
  </si>
  <si>
    <t>TUFLOWName</t>
  </si>
  <si>
    <t>ID-Exclude</t>
  </si>
  <si>
    <t>CSP</t>
  </si>
  <si>
    <t xml:space="preserve"> pit</t>
  </si>
  <si>
    <t>*string id</t>
  </si>
  <si>
    <t>*pit id</t>
  </si>
  <si>
    <t>string name</t>
  </si>
  <si>
    <t>pit name</t>
  </si>
  <si>
    <t>pit type</t>
  </si>
  <si>
    <t>pit diameter</t>
  </si>
  <si>
    <t>pit centre x</t>
  </si>
  <si>
    <t>pit centre y</t>
  </si>
  <si>
    <t>cover elev</t>
  </si>
  <si>
    <t>fs tin</t>
  </si>
  <si>
    <t>ns tin</t>
  </si>
  <si>
    <t>pipe type</t>
  </si>
  <si>
    <t>invert us</t>
  </si>
  <si>
    <t>invert ds</t>
  </si>
  <si>
    <t>diameter</t>
  </si>
  <si>
    <t>width</t>
  </si>
  <si>
    <t>number of pipes</t>
  </si>
  <si>
    <t>separation</t>
  </si>
  <si>
    <t>calculated pipe length</t>
  </si>
  <si>
    <t>calculated pipe grade</t>
  </si>
  <si>
    <t>pipe size</t>
  </si>
  <si>
    <t>nominal diameter</t>
  </si>
  <si>
    <t>nominal pipe size</t>
  </si>
  <si>
    <t>box or pipe size</t>
  </si>
  <si>
    <t>*direction</t>
  </si>
  <si>
    <t>grate level</t>
  </si>
  <si>
    <t>cover rl</t>
  </si>
  <si>
    <t>setout z</t>
  </si>
  <si>
    <t>top rl</t>
  </si>
  <si>
    <t>cover rl mode</t>
  </si>
  <si>
    <t>pit road chainage</t>
  </si>
  <si>
    <t>pit road name</t>
  </si>
  <si>
    <t>conduit shape</t>
  </si>
  <si>
    <t>uid</t>
  </si>
  <si>
    <t>integer</t>
  </si>
  <si>
    <t>text</t>
  </si>
  <si>
    <t>real</t>
  </si>
  <si>
    <t>Expected bottom excel row number</t>
  </si>
  <si>
    <t>These are #N/A error if not found on the import sheet</t>
  </si>
  <si>
    <t>The sheet expects 3 rows of titles, then the data</t>
  </si>
  <si>
    <t>the titles in row T need to be on row 2 of the import</t>
  </si>
  <si>
    <t>Mannings</t>
  </si>
  <si>
    <t>mannings</t>
  </si>
  <si>
    <t>Paste the lines in here, do not split to columns</t>
  </si>
  <si>
    <t>Raw Data</t>
  </si>
  <si>
    <t>ends</t>
  </si>
  <si>
    <t>°</t>
  </si>
  <si>
    <t>"</t>
  </si>
  <si>
    <t>'</t>
  </si>
  <si>
    <t>Degrees</t>
  </si>
  <si>
    <t>Minutes</t>
  </si>
  <si>
    <t>Seconds</t>
  </si>
  <si>
    <t>Decimal</t>
  </si>
  <si>
    <t>From90</t>
  </si>
  <si>
    <t>&gt;</t>
  </si>
  <si>
    <t>Culvert</t>
  </si>
  <si>
    <t>trim1</t>
  </si>
  <si>
    <t>Can this go negative? Probably, and should work</t>
  </si>
  <si>
    <t>Element</t>
  </si>
  <si>
    <t>pipet</t>
  </si>
  <si>
    <t>R</t>
  </si>
  <si>
    <t>Ctype</t>
  </si>
  <si>
    <t>RawWidth</t>
  </si>
  <si>
    <t>CHANGE CULVERT NAMES HERE (IF DESIRED)</t>
  </si>
  <si>
    <t>12d</t>
  </si>
  <si>
    <t>pit</t>
  </si>
  <si>
    <t>pipe</t>
  </si>
  <si>
    <t>remarks</t>
  </si>
  <si>
    <t>grate rl mode</t>
  </si>
  <si>
    <t>pipe colour</t>
  </si>
  <si>
    <t>pipe type description</t>
  </si>
  <si>
    <t>pipe type remarks</t>
  </si>
  <si>
    <t>custom label name</t>
  </si>
  <si>
    <t>n/a</t>
  </si>
  <si>
    <t>BC</t>
  </si>
  <si>
    <t>Rectangular</t>
  </si>
  <si>
    <t>ROCLA QLD RCBC</t>
  </si>
  <si>
    <t>CULVERT INLET</t>
  </si>
  <si>
    <t>CULVERT OUTLET</t>
  </si>
  <si>
    <t>raw_diam</t>
  </si>
  <si>
    <t>raw_width</t>
  </si>
  <si>
    <t>parameter</t>
  </si>
  <si>
    <t>item</t>
  </si>
  <si>
    <t>channel nth</t>
  </si>
  <si>
    <t xml:space="preserve"> inlet</t>
  </si>
  <si>
    <t>MTF ROAD FW Turner river</t>
  </si>
  <si>
    <t>TIN ESL</t>
  </si>
  <si>
    <t>(2x)1200x600</t>
  </si>
  <si>
    <t>1.2W x 0.6H</t>
  </si>
  <si>
    <t xml:space="preserve"> outlet</t>
  </si>
  <si>
    <t>-----------------------------------------------------------------------------------------------------------</t>
  </si>
  <si>
    <t xml:space="preserve"> Road centre line   "north chinnamon floodway"</t>
  </si>
  <si>
    <t xml:space="preserve">             Crossing                        Centreline                     String                         </t>
  </si>
  <si>
    <t xml:space="preserve">     Easting     Northing    Angle       Chainage     Height     Chainage     Height  Slope%    Name       </t>
  </si>
  <si>
    <t xml:space="preserve">  688648.485  7671741.060   0° 0' 0"      445.000    149.001       13.421    147.450   -0.38    "CULVERTS FW-&gt;channel nth"</t>
  </si>
  <si>
    <t xml:space="preserve">  688680.358  7671609.876   0° 0' 0"      310.000    149.000       16.194    146.802   -0.61    "CULVERTS FW-&gt;main channel sth"</t>
  </si>
  <si>
    <t xml:space="preserve"> Road centre line   "Chinnamon"</t>
  </si>
  <si>
    <t xml:space="preserve">  687903.291  7671196.904   8° 6'51"    14747.731    149.604       16.072    146.955   -0.28    "CULVERTS FW-&gt;culvert Chinnamon Crk"</t>
  </si>
  <si>
    <t xml:space="preserve">  687697.042  7671144.787   0° 0' 0"    14535.000    149.633       22.911    146.448   -0.23    "CULVERTS FW-&gt;culvert Chinnamon Crk 001"</t>
  </si>
  <si>
    <t xml:space="preserve"> Road centre line   "Chinnamon low level option"</t>
  </si>
  <si>
    <t xml:space="preserve">  687905.490  7671197.460   0° 0' 0"    14750.000    148.510       10.977    147.269   -2.10    "CULVERTS FW Chinnamon option-&gt;culvert Chinnamon crl low level opt"</t>
  </si>
  <si>
    <t xml:space="preserve"> Road centre line   "Gillian Creek"</t>
  </si>
  <si>
    <t xml:space="preserve">  682975.952  7669843.586  16°44'37"     9393.431    138.600        7.684    137.682   -1.53    "CULVERTS FW-&gt;culvert Gillam crk 001"</t>
  </si>
  <si>
    <t xml:space="preserve"> Road centre line   "Turner River West"</t>
  </si>
  <si>
    <t xml:space="preserve">  678169.439  7664130.160   0° 0' 0"     1820.000    142.108        9.614    141.756   -1.49    "CULVERTS FW-&gt;culvert turner river west 002"</t>
  </si>
  <si>
    <t xml:space="preserve"> Road centre line   "Turner River"</t>
  </si>
  <si>
    <t xml:space="preserve">  681184.230  7667352.973   0° 0' 0"     6240.000    139.209       20.035    137.449   -0.26    "CULVERTS FW-&gt;culvert turner river 001"</t>
  </si>
  <si>
    <t xml:space="preserve">  680778.666  7666804.650  10°40'25"     5557.988    139.200       16.133    137.880   -0.74    "CULVERTS FW-&gt;culvert turner river 002"</t>
  </si>
  <si>
    <t>unique</t>
  </si>
  <si>
    <t>expected</t>
  </si>
  <si>
    <t>raw name</t>
  </si>
  <si>
    <t>adj name</t>
  </si>
  <si>
    <t>gillam</t>
  </si>
  <si>
    <t>turner1</t>
  </si>
  <si>
    <t>turner2</t>
  </si>
  <si>
    <t>turnerW</t>
  </si>
  <si>
    <t>chinH2</t>
  </si>
  <si>
    <t>ChinN1</t>
  </si>
  <si>
    <t>ChinN2</t>
  </si>
  <si>
    <t>ChinH1</t>
  </si>
  <si>
    <t>ChinL</t>
  </si>
  <si>
    <t>R-1</t>
  </si>
  <si>
    <t>R-2</t>
  </si>
  <si>
    <t>R-3</t>
  </si>
  <si>
    <t>R-4</t>
  </si>
  <si>
    <t>R-5</t>
  </si>
  <si>
    <t>R-6</t>
  </si>
  <si>
    <t>R-7</t>
  </si>
  <si>
    <t>R-8</t>
  </si>
  <si>
    <t>R-9</t>
  </si>
  <si>
    <t>R-10</t>
  </si>
  <si>
    <t>R-11</t>
  </si>
  <si>
    <t>R-12</t>
  </si>
  <si>
    <t>R-13</t>
  </si>
  <si>
    <t>R-14</t>
  </si>
  <si>
    <t>R-15</t>
  </si>
  <si>
    <t>R-16</t>
  </si>
  <si>
    <t>R-17</t>
  </si>
  <si>
    <t>R-18</t>
  </si>
  <si>
    <t>R-19</t>
  </si>
  <si>
    <t>R-20</t>
  </si>
  <si>
    <t>R-21</t>
  </si>
  <si>
    <t>R-22</t>
  </si>
  <si>
    <t>R-6b</t>
  </si>
  <si>
    <t>R-7b</t>
  </si>
  <si>
    <t>R-10b</t>
  </si>
  <si>
    <t>R-10c</t>
  </si>
  <si>
    <t>R-17b</t>
  </si>
  <si>
    <t>R-18b</t>
  </si>
  <si>
    <t>R-7c</t>
  </si>
  <si>
    <t>R-14b</t>
  </si>
  <si>
    <t>fid</t>
  </si>
  <si>
    <t>wkt_geom</t>
  </si>
  <si>
    <t>MultiLineString ((687316.367809071787633 7565096.3571438966318965, 687240.47098323528189212 7565130.91730566136538982))</t>
  </si>
  <si>
    <t>MultiLineString ((687647.90818443091120571 7566198.13171269930899143, 687639.36691419442649931 7566249.71658932324498892))</t>
  </si>
  <si>
    <t>MultiLineString ((687971.95803359965793788 7566446.15060707088559866, 687955.61175127199385315 7566504.66286767460405827))</t>
  </si>
  <si>
    <t>MultiLineString ((688863.53434349712915719 7566883.80460810009390116, 688881.62753190065268427 7566950.32748960889875889))</t>
  </si>
  <si>
    <t>MultiLineString ((689064.92991105315741152 7566962.08014303725212812, 689051.27705024543683976 7567000.71681035682559013))</t>
  </si>
  <si>
    <t>MultiLineString ((689871.65609456459060311 7567415.68947762716561556, 689840.85410076985135674 7567442.52291673887521029))</t>
  </si>
  <si>
    <t>MultiLineString ((690763.55012406688183546 7568491.29343010578304529, 690743.11727115733083338 7568514.69833434745669365))</t>
  </si>
  <si>
    <t>MultiLineString ((691279.20103022071998566 7569106.97243891004472971, 691252.82407464657444507 7569121.83269557077437639))</t>
  </si>
  <si>
    <t>MultiLineString ((691507.72391469345893711 7569388.57430264540016651, 691479.22176939097698778 7569401.46008582692593336))</t>
  </si>
  <si>
    <t>MultiLineString ((691801.30686036229599267 7569982.24155627377331257, 691774.55839837156236172 7569997.47331935167312622))</t>
  </si>
  <si>
    <t>MultiLineString ((691909.32235097035299987 7570320.73034003842622042, 691880.06622066791169345 7570339.67716728243976831))</t>
  </si>
  <si>
    <t>MultiLineString ((692036.69809301919303834 7570740.82406918331980705, 692012.72198079596273601 7570764.29275045823305845))</t>
  </si>
  <si>
    <t>MultiLineString ((692161.01794817426707596 7571146.96061041299253702, 692109.38757610891479999 7571160.85003517102450132))</t>
  </si>
  <si>
    <t>MultiLineString ((692208.38501628290396184 7571615.61595487501472235, 692159.34616929991170764 7571613.57266958430409431))</t>
  </si>
  <si>
    <t>MultiLineString ((692207.45625024160835892 7571762.91824903339147568, 692168.81958292168565094 7571777.40699927881360054))</t>
  </si>
  <si>
    <t>MultiLineString ((692226.58883069327566773 7572259.15794492140412331, 692181.91518410469871014 7572253.02808904834091663))</t>
  </si>
  <si>
    <t>MultiLineString ((692464.0743074647616595 7573334.20463777799159288, 692436.02557301614433527 7573348.69338802248239517))</t>
  </si>
  <si>
    <t>MultiLineString ((693238.80200534139294177 7574681.5327999098226428, 693222.05678410606924444 7574705.88948534335941076))</t>
  </si>
  <si>
    <t>MultiLineString ((693376.96487060177605599 7574871.00236042961478233, 693362.01173733605537564 7574889.67055786214768887))</t>
  </si>
  <si>
    <t>MultiLineString ((694752.0485145403072238 7576884.1145584462210536, 694747.08053479238878936 7576921.1605200907215476))</t>
  </si>
  <si>
    <t>MultiLineString ((695655.97098285146057606 7577759.65050221607089043, 695630.15128690202254802 7577795.31511820387095213))</t>
  </si>
  <si>
    <t>MultiLineString ((696091.00499661697540432 7577899.89417445752769709, 696089.80277840339113027 7577931.24743920471519232))</t>
  </si>
  <si>
    <t>MultiLineString ((689632.59171552222687751 7567167.98757440131157637, 689634.17061779252253473 7567222.69189423695206642))</t>
  </si>
  <si>
    <t>MultiLineString ((690559.03584176278673112 7568243.96303329430520535, 690538.88161866564769298 7568271.91889113932847977))</t>
  </si>
  <si>
    <t>MultiLineString ((691742.79459975729696453 7569821.37927791196852922, 691717.62504003697540611 7569824.07269943132996559))</t>
  </si>
  <si>
    <t>MultiLineString ((691654.5618258296744898 7569630.88936283066868782, 691636.54376462753862143 7569647.32852176204323769))</t>
  </si>
  <si>
    <t>MultiLineString ((692507.26192838733550161 7573519.77209283597767353, 692464.7244436937617138 7573513.27073054667562246))</t>
  </si>
  <si>
    <t>MultiLineString ((692940.16620135749690235 7574340.58407421596348286, 692998.12120233732275665 7574357.67336937598884106))</t>
  </si>
  <si>
    <t>MultiLineString ((690270.38070888910442591 7567896.65982296504080296, 690261.17007480037864298 7567943.92949225008487701))</t>
  </si>
  <si>
    <t>MultiLineString ((692189.49452477414160967 7571443.62287487834692001, 692159.25583927519619465 7571463.08685634937137365))</t>
  </si>
  <si>
    <t>1d_nwk-import</t>
  </si>
  <si>
    <t>blank</t>
  </si>
  <si>
    <t>SOURCE</t>
  </si>
  <si>
    <t>1d_nwk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</si>
</sst>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"/>
    <numFmt numFmtId="166" formatCode="_-* #,##0.0_-;\-* #,##0.0_-;_-* &quot;-&quot;??_-;_-@_-"/>
    <numFmt numFmtId="167" formatCode="_(* #,##0.0_);_(* \(#,##0.0\);_(* &quot;-&quot;??_);_(@_)"/>
    <numFmt numFmtId="168" formatCode="_(* #,##0.000_);_(* \(#,##0.0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0" fontId="1" fillId="0" borderId="0"/>
    <xf numFmtId="0" fontId="19" fillId="33" borderId="4">
      <alignment horizontal="center" vertical="center" wrapText="1"/>
    </xf>
    <xf numFmtId="0" fontId="21" fillId="34" borderId="4">
      <alignment horizontal="center" vertical="center" wrapText="1"/>
    </xf>
  </cellStyleXfs>
  <cellXfs count="18">
    <xf numFmtId="0" fontId="0" fillId="0" borderId="0" xfId="0"/>
    <xf numFmtId="0" fontId="18" fillId="0" borderId="0" xfId="0" applyFont="1"/>
    <xf numFmtId="165" fontId="0" fillId="0" borderId="0" xfId="0" applyNumberFormat="1"/>
    <xf numFmtId="0" fontId="0" fillId="0" borderId="0" xfId="0" applyAlignment="1">
      <alignment vertical="center" wrapText="1"/>
    </xf>
    <xf numFmtId="166" fontId="0" fillId="0" borderId="0" xfId="42" applyNumberFormat="1" applyFont="1"/>
    <xf numFmtId="0" fontId="16" fillId="0" borderId="0" xfId="0" applyFont="1"/>
    <xf numFmtId="164" fontId="0" fillId="0" borderId="0" xfId="42" applyFont="1"/>
    <xf numFmtId="164" fontId="0" fillId="0" borderId="0" xfId="0" applyNumberFormat="1"/>
    <xf numFmtId="167" fontId="0" fillId="0" borderId="0" xfId="42" applyNumberFormat="1" applyFont="1"/>
    <xf numFmtId="168" fontId="0" fillId="0" borderId="0" xfId="42" applyNumberFormat="1" applyFont="1"/>
    <xf numFmtId="0" fontId="0" fillId="35" borderId="0" xfId="0" applyFill="1"/>
    <xf numFmtId="0" fontId="0" fillId="0" borderId="0" xfId="0" quotePrefix="1"/>
    <xf numFmtId="167" fontId="0" fillId="0" borderId="0" xfId="42" applyNumberFormat="1" applyFont="1" applyBorder="1" applyAlignment="1">
      <alignment vertical="center" wrapText="1"/>
    </xf>
    <xf numFmtId="167" fontId="0" fillId="0" borderId="0" xfId="42" applyNumberFormat="1" applyFont="1" applyBorder="1"/>
    <xf numFmtId="0" fontId="2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6" fillId="35" borderId="0" xfId="0" applyFont="1" applyFill="1"/>
    <xf numFmtId="0" fontId="0" fillId="0" borderId="0" xfId="42" applyNumberFormat="1" applyFont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69FD85E-DB61-4DAD-8338-718D5437FC98}"/>
    <cellStyle name="Normal 2 2" xfId="44" xr:uid="{4E497790-9F94-4B0E-B0A7-964B8A6BD1A2}"/>
    <cellStyle name="Note" xfId="15" builtinId="10" customBuiltin="1"/>
    <cellStyle name="Output" xfId="10" builtinId="21" customBuiltin="1"/>
    <cellStyle name="roads" xfId="45" xr:uid="{BECDC56C-A113-4BE9-B285-8D5645A6A8B0}"/>
    <cellStyle name="Title" xfId="1" builtinId="15" customBuiltin="1"/>
    <cellStyle name="Total" xfId="17" builtinId="25" customBuiltin="1"/>
    <cellStyle name="Warning Text" xfId="14" builtinId="11" customBuiltin="1"/>
    <cellStyle name="waterways" xfId="46" xr:uid="{6B70B1A3-1A1B-42A1-9B16-9EE879177368}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'PointsTidy -from 1dnwk'!$L$4:$L$19</c:f>
              <c:numCache>
                <c:formatCode>General</c:formatCode>
                <c:ptCount val="16"/>
                <c:pt idx="0">
                  <c:v>687240.47098323505</c:v>
                </c:pt>
                <c:pt idx="1">
                  <c:v>687316.36780907097</c:v>
                </c:pt>
                <c:pt idx="2">
                  <c:v>691774.55839837098</c:v>
                </c:pt>
                <c:pt idx="3">
                  <c:v>691801.30686036195</c:v>
                </c:pt>
                <c:pt idx="4">
                  <c:v>691717.62504003604</c:v>
                </c:pt>
                <c:pt idx="5">
                  <c:v>691742.79459975695</c:v>
                </c:pt>
                <c:pt idx="6">
                  <c:v>691636.54376462696</c:v>
                </c:pt>
                <c:pt idx="7">
                  <c:v>691654.56182582898</c:v>
                </c:pt>
                <c:pt idx="8">
                  <c:v>691880.06622066698</c:v>
                </c:pt>
                <c:pt idx="9">
                  <c:v>691909.32235097</c:v>
                </c:pt>
                <c:pt idx="10">
                  <c:v>692012.72198079503</c:v>
                </c:pt>
                <c:pt idx="11">
                  <c:v>692036.69809301896</c:v>
                </c:pt>
                <c:pt idx="12">
                  <c:v>692109.38757610798</c:v>
                </c:pt>
                <c:pt idx="13">
                  <c:v>692161.01794817403</c:v>
                </c:pt>
                <c:pt idx="14">
                  <c:v>692159.34616929898</c:v>
                </c:pt>
                <c:pt idx="15">
                  <c:v>692208.38501628197</c:v>
                </c:pt>
              </c:numCache>
            </c:numRef>
          </c:xVal>
          <c:yVal>
            <c:numRef>
              <c:f>'PointsTidy -from 1dnwk'!$M$4:$M$19</c:f>
              <c:numCache>
                <c:formatCode>General</c:formatCode>
                <c:ptCount val="16"/>
                <c:pt idx="0">
                  <c:v>7565130.9173056604</c:v>
                </c:pt>
                <c:pt idx="1">
                  <c:v>7565096.3571438901</c:v>
                </c:pt>
                <c:pt idx="2">
                  <c:v>7569997.4733193498</c:v>
                </c:pt>
                <c:pt idx="3">
                  <c:v>7569982.24155627</c:v>
                </c:pt>
                <c:pt idx="4">
                  <c:v>7569824.0726994304</c:v>
                </c:pt>
                <c:pt idx="5">
                  <c:v>7569821.3792779101</c:v>
                </c:pt>
                <c:pt idx="6">
                  <c:v>7569647.3285217602</c:v>
                </c:pt>
                <c:pt idx="7">
                  <c:v>7569630.8893628297</c:v>
                </c:pt>
                <c:pt idx="8">
                  <c:v>7570339.6771672796</c:v>
                </c:pt>
                <c:pt idx="9">
                  <c:v>7570320.73034003</c:v>
                </c:pt>
                <c:pt idx="10">
                  <c:v>7570764.2927504499</c:v>
                </c:pt>
                <c:pt idx="11">
                  <c:v>7570740.8240691796</c:v>
                </c:pt>
                <c:pt idx="12">
                  <c:v>7571160.8500351701</c:v>
                </c:pt>
                <c:pt idx="13">
                  <c:v>7571146.9606104102</c:v>
                </c:pt>
                <c:pt idx="14">
                  <c:v>7571613.5726695796</c:v>
                </c:pt>
                <c:pt idx="15">
                  <c:v>7571615.6159548704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A2-489D-8FF4-23337FCC5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578280"/>
        <c:axId val="571579920"/>
      </c:scatterChart>
      <c:valAx>
        <c:axId val="571578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579920"/>
        <c:crosses val="autoZero"/>
        <c:crossBetween val="midCat"/>
      </c:valAx>
      <c:valAx>
        <c:axId val="57157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578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'PointsTidy - 12D'!$L$4:$L$19</c:f>
              <c:numCache>
                <c:formatCode>General</c:formatCode>
                <c:ptCount val="16"/>
                <c:pt idx="0">
                  <c:v>688661.52606599999</c:v>
                </c:pt>
                <c:pt idx="1">
                  <c:v>688635.50224399997</c:v>
                </c:pt>
              </c:numCache>
            </c:numRef>
          </c:xVal>
          <c:yVal>
            <c:numRef>
              <c:f>'PointsTidy - 12D'!$M$4:$M$19</c:f>
              <c:numCache>
                <c:formatCode>General</c:formatCode>
                <c:ptCount val="16"/>
                <c:pt idx="0">
                  <c:v>7671744.2282520002</c:v>
                </c:pt>
                <c:pt idx="1">
                  <c:v>7671737.905278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0D-4C1F-91D4-D12B5846E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578280"/>
        <c:axId val="571579920"/>
      </c:scatterChart>
      <c:valAx>
        <c:axId val="571578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579920"/>
        <c:crosses val="autoZero"/>
        <c:crossBetween val="midCat"/>
      </c:valAx>
      <c:valAx>
        <c:axId val="57157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578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'PointsTidy - master'!$L$4:$L$19</c:f>
              <c:numCache>
                <c:formatCode>General</c:formatCode>
                <c:ptCount val="16"/>
                <c:pt idx="0">
                  <c:v>687240.47098323505</c:v>
                </c:pt>
                <c:pt idx="1">
                  <c:v>687316.36780907097</c:v>
                </c:pt>
                <c:pt idx="2">
                  <c:v>691774.55839837098</c:v>
                </c:pt>
                <c:pt idx="3">
                  <c:v>691801.30686036195</c:v>
                </c:pt>
                <c:pt idx="4">
                  <c:v>691717.62504003604</c:v>
                </c:pt>
                <c:pt idx="5">
                  <c:v>691742.79459975695</c:v>
                </c:pt>
                <c:pt idx="6">
                  <c:v>691636.54376462696</c:v>
                </c:pt>
                <c:pt idx="7">
                  <c:v>691654.56182582898</c:v>
                </c:pt>
                <c:pt idx="8">
                  <c:v>691880.06622066698</c:v>
                </c:pt>
                <c:pt idx="9">
                  <c:v>691909.32235097</c:v>
                </c:pt>
                <c:pt idx="10">
                  <c:v>692012.72198079503</c:v>
                </c:pt>
                <c:pt idx="11">
                  <c:v>692036.69809301896</c:v>
                </c:pt>
                <c:pt idx="12">
                  <c:v>692109.38757610798</c:v>
                </c:pt>
                <c:pt idx="13">
                  <c:v>692161.01794817403</c:v>
                </c:pt>
                <c:pt idx="14">
                  <c:v>692159.34616929898</c:v>
                </c:pt>
                <c:pt idx="15">
                  <c:v>692208.38501628197</c:v>
                </c:pt>
              </c:numCache>
            </c:numRef>
          </c:xVal>
          <c:yVal>
            <c:numRef>
              <c:f>'PointsTidy - master'!$M$4:$M$19</c:f>
              <c:numCache>
                <c:formatCode>General</c:formatCode>
                <c:ptCount val="16"/>
                <c:pt idx="0">
                  <c:v>7565130.9173056604</c:v>
                </c:pt>
                <c:pt idx="1">
                  <c:v>7565096.3571438901</c:v>
                </c:pt>
                <c:pt idx="2">
                  <c:v>7569997.4733193498</c:v>
                </c:pt>
                <c:pt idx="3">
                  <c:v>7569982.24155627</c:v>
                </c:pt>
                <c:pt idx="4">
                  <c:v>7569824.0726994304</c:v>
                </c:pt>
                <c:pt idx="5">
                  <c:v>7569821.3792779101</c:v>
                </c:pt>
                <c:pt idx="6">
                  <c:v>7569647.3285217602</c:v>
                </c:pt>
                <c:pt idx="7">
                  <c:v>7569630.8893628297</c:v>
                </c:pt>
                <c:pt idx="8">
                  <c:v>7570339.6771672796</c:v>
                </c:pt>
                <c:pt idx="9">
                  <c:v>7570320.73034003</c:v>
                </c:pt>
                <c:pt idx="10">
                  <c:v>7570764.2927504499</c:v>
                </c:pt>
                <c:pt idx="11">
                  <c:v>7570740.8240691796</c:v>
                </c:pt>
                <c:pt idx="12">
                  <c:v>7571160.8500351701</c:v>
                </c:pt>
                <c:pt idx="13">
                  <c:v>7571146.9606104102</c:v>
                </c:pt>
                <c:pt idx="14">
                  <c:v>7571613.5726695796</c:v>
                </c:pt>
                <c:pt idx="15">
                  <c:v>7571615.6159548704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6D-42A7-A7B8-B7831EAC9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578280"/>
        <c:axId val="571579920"/>
      </c:scatterChart>
      <c:valAx>
        <c:axId val="571578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579920"/>
        <c:crosses val="autoZero"/>
        <c:crossBetween val="midCat"/>
      </c:valAx>
      <c:valAx>
        <c:axId val="57157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578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xVal>
            <c:numRef>
              <c:f>'2d_bc'!$L$2:$L$9</c:f>
              <c:numCache>
                <c:formatCode>General</c:formatCode>
                <c:ptCount val="8"/>
                <c:pt idx="0">
                  <c:v>687315.23873115657</c:v>
                </c:pt>
                <c:pt idx="1">
                  <c:v>687318.6617996142</c:v>
                </c:pt>
                <c:pt idx="2">
                  <c:v>687316.36780907097</c:v>
                </c:pt>
                <c:pt idx="3">
                  <c:v>687318.6617996142</c:v>
                </c:pt>
                <c:pt idx="4">
                  <c:v>687241.60006114945</c:v>
                </c:pt>
                <c:pt idx="5">
                  <c:v>687238.17699269182</c:v>
                </c:pt>
                <c:pt idx="6">
                  <c:v>687240.47098323505</c:v>
                </c:pt>
                <c:pt idx="7">
                  <c:v>687238.17699269182</c:v>
                </c:pt>
              </c:numCache>
            </c:numRef>
          </c:xVal>
          <c:yVal>
            <c:numRef>
              <c:f>'2d_bc'!$M$2:$M$9</c:f>
              <c:numCache>
                <c:formatCode>General</c:formatCode>
                <c:ptCount val="8"/>
                <c:pt idx="0">
                  <c:v>7565092.333254843</c:v>
                </c:pt>
                <c:pt idx="1">
                  <c:v>7565099.8505816506</c:v>
                </c:pt>
                <c:pt idx="2">
                  <c:v>7565096.3571438901</c:v>
                </c:pt>
                <c:pt idx="3">
                  <c:v>7565099.8505816506</c:v>
                </c:pt>
                <c:pt idx="4">
                  <c:v>7565134.9411947075</c:v>
                </c:pt>
                <c:pt idx="5">
                  <c:v>7565127.4238678999</c:v>
                </c:pt>
                <c:pt idx="6">
                  <c:v>7565130.9173056604</c:v>
                </c:pt>
                <c:pt idx="7">
                  <c:v>7565127.4238678999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D11-4F0D-BA3E-3B4D93D45913}"/>
            </c:ext>
          </c:extLst>
        </c:ser>
        <c:ser>
          <c:idx val="3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'2d_zsh'!$D$2:$D$9</c:f>
              <c:numCache>
                <c:formatCode>General</c:formatCode>
                <c:ptCount val="8"/>
                <c:pt idx="0">
                  <c:v>687313.48591793678</c:v>
                </c:pt>
                <c:pt idx="1">
                  <c:v>687314.94205872272</c:v>
                </c:pt>
                <c:pt idx="2">
                  <c:v>687319.83215651941</c:v>
                </c:pt>
                <c:pt idx="3">
                  <c:v>687318.37601573346</c:v>
                </c:pt>
                <c:pt idx="4">
                  <c:v>687243.35287436924</c:v>
                </c:pt>
                <c:pt idx="5">
                  <c:v>687241.8967335833</c:v>
                </c:pt>
                <c:pt idx="6">
                  <c:v>687237.00663578662</c:v>
                </c:pt>
                <c:pt idx="7">
                  <c:v>687238.46277657256</c:v>
                </c:pt>
              </c:numCache>
            </c:numRef>
          </c:xVal>
          <c:yVal>
            <c:numRef>
              <c:f>'2d_zsh'!$E$2:$E$9</c:f>
              <c:numCache>
                <c:formatCode>General</c:formatCode>
                <c:ptCount val="8"/>
                <c:pt idx="0">
                  <c:v>7565091.1865439741</c:v>
                </c:pt>
                <c:pt idx="1">
                  <c:v>7565090.5234798659</c:v>
                </c:pt>
                <c:pt idx="2">
                  <c:v>7565101.2625181619</c:v>
                </c:pt>
                <c:pt idx="3">
                  <c:v>7565101.9255822701</c:v>
                </c:pt>
                <c:pt idx="4">
                  <c:v>7565136.0879055765</c:v>
                </c:pt>
                <c:pt idx="5">
                  <c:v>7565136.7509696847</c:v>
                </c:pt>
                <c:pt idx="6">
                  <c:v>7565126.0119313886</c:v>
                </c:pt>
                <c:pt idx="7">
                  <c:v>7565125.3488672804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D11-4F0D-BA3E-3B4D93D45913}"/>
            </c:ext>
          </c:extLst>
        </c:ser>
        <c:ser>
          <c:idx val="1"/>
          <c:order val="2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'PointsTidy - master'!$L$4:$L$5</c:f>
              <c:numCache>
                <c:formatCode>General</c:formatCode>
                <c:ptCount val="2"/>
                <c:pt idx="0">
                  <c:v>687240.47098323505</c:v>
                </c:pt>
                <c:pt idx="1">
                  <c:v>687316.36780907097</c:v>
                </c:pt>
              </c:numCache>
            </c:numRef>
          </c:xVal>
          <c:yVal>
            <c:numRef>
              <c:f>'PointsTidy - master'!$M$4:$M$5</c:f>
              <c:numCache>
                <c:formatCode>General</c:formatCode>
                <c:ptCount val="2"/>
                <c:pt idx="0">
                  <c:v>7565130.9173056604</c:v>
                </c:pt>
                <c:pt idx="1">
                  <c:v>7565096.3571438901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xy</c:v>
                </c15:tx>
              </c15:filteredSeriesTitle>
            </c:ext>
            <c:ext xmlns:c16="http://schemas.microsoft.com/office/drawing/2014/chart" uri="{C3380CC4-5D6E-409C-BE32-E72D297353CC}">
              <c16:uniqueId val="{00000003-BD11-4F0D-BA3E-3B4D93D45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913512"/>
        <c:axId val="457918432"/>
      </c:scatterChart>
      <c:valAx>
        <c:axId val="457913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918432"/>
        <c:crosses val="autoZero"/>
        <c:crossBetween val="midCat"/>
      </c:valAx>
      <c:valAx>
        <c:axId val="45791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91351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2d_bc</c:v>
          </c:tx>
          <c:xVal>
            <c:numRef>
              <c:f>'2d_bc'!$L$2:$L$33</c:f>
              <c:numCache>
                <c:formatCode>General</c:formatCode>
                <c:ptCount val="32"/>
                <c:pt idx="0">
                  <c:v>687315.23873115657</c:v>
                </c:pt>
                <c:pt idx="1">
                  <c:v>687318.6617996142</c:v>
                </c:pt>
                <c:pt idx="2">
                  <c:v>687316.36780907097</c:v>
                </c:pt>
                <c:pt idx="3">
                  <c:v>687318.6617996142</c:v>
                </c:pt>
                <c:pt idx="4">
                  <c:v>687241.60006114945</c:v>
                </c:pt>
                <c:pt idx="5">
                  <c:v>687238.17699269182</c:v>
                </c:pt>
                <c:pt idx="6">
                  <c:v>687240.47098323505</c:v>
                </c:pt>
                <c:pt idx="7">
                  <c:v>687238.17699269182</c:v>
                </c:pt>
                <c:pt idx="8">
                  <c:v>691801.06632051629</c:v>
                </c:pt>
                <c:pt idx="9">
                  <c:v>691802.65970086853</c:v>
                </c:pt>
                <c:pt idx="10">
                  <c:v>691801.30686036195</c:v>
                </c:pt>
                <c:pt idx="11">
                  <c:v>691802.65970086853</c:v>
                </c:pt>
                <c:pt idx="12">
                  <c:v>691774.79893821664</c:v>
                </c:pt>
                <c:pt idx="13">
                  <c:v>691773.20555786439</c:v>
                </c:pt>
                <c:pt idx="14">
                  <c:v>691774.55839837098</c:v>
                </c:pt>
                <c:pt idx="15">
                  <c:v>691773.20555786439</c:v>
                </c:pt>
                <c:pt idx="16">
                  <c:v>691743.25965674419</c:v>
                </c:pt>
                <c:pt idx="17">
                  <c:v>691743.60227624304</c:v>
                </c:pt>
                <c:pt idx="18">
                  <c:v>691742.79459975695</c:v>
                </c:pt>
                <c:pt idx="19">
                  <c:v>691743.60227624304</c:v>
                </c:pt>
                <c:pt idx="20">
                  <c:v>691717.1599830488</c:v>
                </c:pt>
                <c:pt idx="21">
                  <c:v>691716.81736354996</c:v>
                </c:pt>
                <c:pt idx="22">
                  <c:v>691717.62504003604</c:v>
                </c:pt>
                <c:pt idx="23">
                  <c:v>691716.81736354996</c:v>
                </c:pt>
                <c:pt idx="24">
                  <c:v>691654.4590201223</c:v>
                </c:pt>
                <c:pt idx="25">
                  <c:v>691655.61020947038</c:v>
                </c:pt>
                <c:pt idx="26">
                  <c:v>691654.56182582898</c:v>
                </c:pt>
                <c:pt idx="27">
                  <c:v>691655.61020947038</c:v>
                </c:pt>
                <c:pt idx="28">
                  <c:v>691636.64657033363</c:v>
                </c:pt>
                <c:pt idx="29">
                  <c:v>691635.49538098555</c:v>
                </c:pt>
                <c:pt idx="30">
                  <c:v>691636.54376462696</c:v>
                </c:pt>
                <c:pt idx="31">
                  <c:v>691635.49538098555</c:v>
                </c:pt>
              </c:numCache>
            </c:numRef>
          </c:xVal>
          <c:yVal>
            <c:numRef>
              <c:f>'2d_bc'!$M$2:$M$33</c:f>
              <c:numCache>
                <c:formatCode>General</c:formatCode>
                <c:ptCount val="32"/>
                <c:pt idx="0">
                  <c:v>7565092.333254843</c:v>
                </c:pt>
                <c:pt idx="1">
                  <c:v>7565099.8505816506</c:v>
                </c:pt>
                <c:pt idx="2">
                  <c:v>7565096.3571438901</c:v>
                </c:pt>
                <c:pt idx="3">
                  <c:v>7565099.8505816506</c:v>
                </c:pt>
                <c:pt idx="4">
                  <c:v>7565134.9411947075</c:v>
                </c:pt>
                <c:pt idx="5">
                  <c:v>7565127.4238678999</c:v>
                </c:pt>
                <c:pt idx="6">
                  <c:v>7565130.9173056604</c:v>
                </c:pt>
                <c:pt idx="7">
                  <c:v>7565127.4238678999</c:v>
                </c:pt>
                <c:pt idx="8">
                  <c:v>7569980.5257938793</c:v>
                </c:pt>
                <c:pt idx="9">
                  <c:v>7569983.3239252288</c:v>
                </c:pt>
                <c:pt idx="10">
                  <c:v>7569982.24155627</c:v>
                </c:pt>
                <c:pt idx="11">
                  <c:v>7569983.3239252288</c:v>
                </c:pt>
                <c:pt idx="12">
                  <c:v>7569999.1890817406</c:v>
                </c:pt>
                <c:pt idx="13">
                  <c:v>7569996.3909503911</c:v>
                </c:pt>
                <c:pt idx="14">
                  <c:v>7569997.4733193498</c:v>
                </c:pt>
                <c:pt idx="15">
                  <c:v>7569996.3909503911</c:v>
                </c:pt>
                <c:pt idx="16">
                  <c:v>7569819.7103195526</c:v>
                </c:pt>
                <c:pt idx="17">
                  <c:v>7569822.9120396962</c:v>
                </c:pt>
                <c:pt idx="18">
                  <c:v>7569821.3792779101</c:v>
                </c:pt>
                <c:pt idx="19">
                  <c:v>7569822.9120396962</c:v>
                </c:pt>
                <c:pt idx="20">
                  <c:v>7569825.7416577879</c:v>
                </c:pt>
                <c:pt idx="21">
                  <c:v>7569822.5399376443</c:v>
                </c:pt>
                <c:pt idx="22">
                  <c:v>7569824.0726994304</c:v>
                </c:pt>
                <c:pt idx="23">
                  <c:v>7569822.5399376443</c:v>
                </c:pt>
                <c:pt idx="24">
                  <c:v>7569629.8271260448</c:v>
                </c:pt>
                <c:pt idx="25">
                  <c:v>7569631.0888816016</c:v>
                </c:pt>
                <c:pt idx="26">
                  <c:v>7569630.8893628297</c:v>
                </c:pt>
                <c:pt idx="27">
                  <c:v>7569631.0888816016</c:v>
                </c:pt>
                <c:pt idx="28">
                  <c:v>7569648.3907585451</c:v>
                </c:pt>
                <c:pt idx="29">
                  <c:v>7569647.1290029883</c:v>
                </c:pt>
                <c:pt idx="30">
                  <c:v>7569647.3285217602</c:v>
                </c:pt>
                <c:pt idx="31">
                  <c:v>7569647.1290029883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F1-43F0-86D3-DE8DB53F73CA}"/>
            </c:ext>
          </c:extLst>
        </c:ser>
        <c:ser>
          <c:idx val="3"/>
          <c:order val="1"/>
          <c:tx>
            <c:v>zsh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'2d_zsh'!$D$2:$D$33</c:f>
              <c:numCache>
                <c:formatCode>General</c:formatCode>
                <c:ptCount val="32"/>
                <c:pt idx="0">
                  <c:v>687313.48591793678</c:v>
                </c:pt>
                <c:pt idx="1">
                  <c:v>687314.94205872272</c:v>
                </c:pt>
                <c:pt idx="2">
                  <c:v>687319.83215651941</c:v>
                </c:pt>
                <c:pt idx="3">
                  <c:v>687318.37601573346</c:v>
                </c:pt>
                <c:pt idx="4">
                  <c:v>687243.35287436924</c:v>
                </c:pt>
                <c:pt idx="5">
                  <c:v>687241.8967335833</c:v>
                </c:pt>
                <c:pt idx="6">
                  <c:v>687237.00663578662</c:v>
                </c:pt>
                <c:pt idx="7">
                  <c:v>687238.46277657256</c:v>
                </c:pt>
                <c:pt idx="8">
                  <c:v>691799.75161879091</c:v>
                </c:pt>
                <c:pt idx="9">
                  <c:v>691801.14199461706</c:v>
                </c:pt>
                <c:pt idx="10">
                  <c:v>691803.41825226333</c:v>
                </c:pt>
                <c:pt idx="11">
                  <c:v>691802.02787643718</c:v>
                </c:pt>
                <c:pt idx="12">
                  <c:v>691776.11363994202</c:v>
                </c:pt>
                <c:pt idx="13">
                  <c:v>691774.72326411586</c:v>
                </c:pt>
                <c:pt idx="14">
                  <c:v>691772.44700646959</c:v>
                </c:pt>
                <c:pt idx="15">
                  <c:v>691773.83738229575</c:v>
                </c:pt>
                <c:pt idx="16">
                  <c:v>691742.07259649108</c:v>
                </c:pt>
                <c:pt idx="17">
                  <c:v>691743.66351333272</c:v>
                </c:pt>
                <c:pt idx="18">
                  <c:v>691744.15296975954</c:v>
                </c:pt>
                <c:pt idx="19">
                  <c:v>691742.5620529179</c:v>
                </c:pt>
                <c:pt idx="20">
                  <c:v>691718.34704330191</c:v>
                </c:pt>
                <c:pt idx="21">
                  <c:v>691716.75612646027</c:v>
                </c:pt>
                <c:pt idx="22">
                  <c:v>691716.26667003345</c:v>
                </c:pt>
                <c:pt idx="23">
                  <c:v>691717.85758687509</c:v>
                </c:pt>
                <c:pt idx="24">
                  <c:v>691653.3849559977</c:v>
                </c:pt>
                <c:pt idx="25">
                  <c:v>691654.56692841614</c:v>
                </c:pt>
                <c:pt idx="26">
                  <c:v>691656.21148462768</c:v>
                </c:pt>
                <c:pt idx="27">
                  <c:v>691655.02951220924</c:v>
                </c:pt>
                <c:pt idx="28">
                  <c:v>691637.72063445824</c:v>
                </c:pt>
                <c:pt idx="29">
                  <c:v>691636.53866203979</c:v>
                </c:pt>
                <c:pt idx="30">
                  <c:v>691634.89410582825</c:v>
                </c:pt>
                <c:pt idx="31">
                  <c:v>691636.0760782467</c:v>
                </c:pt>
              </c:numCache>
            </c:numRef>
          </c:xVal>
          <c:yVal>
            <c:numRef>
              <c:f>'2d_zsh'!$E$2:$E$33</c:f>
              <c:numCache>
                <c:formatCode>General</c:formatCode>
                <c:ptCount val="32"/>
                <c:pt idx="0">
                  <c:v>7565091.1865439741</c:v>
                </c:pt>
                <c:pt idx="1">
                  <c:v>7565090.5234798659</c:v>
                </c:pt>
                <c:pt idx="2">
                  <c:v>7565101.2625181619</c:v>
                </c:pt>
                <c:pt idx="3">
                  <c:v>7565101.9255822701</c:v>
                </c:pt>
                <c:pt idx="4">
                  <c:v>7565136.0879055765</c:v>
                </c:pt>
                <c:pt idx="5">
                  <c:v>7565136.7509696847</c:v>
                </c:pt>
                <c:pt idx="6">
                  <c:v>7565126.0119313886</c:v>
                </c:pt>
                <c:pt idx="7">
                  <c:v>7565125.3488672804</c:v>
                </c:pt>
                <c:pt idx="8">
                  <c:v>7569980.480413557</c:v>
                </c:pt>
                <c:pt idx="9">
                  <c:v>7569979.6886717668</c:v>
                </c:pt>
                <c:pt idx="10">
                  <c:v>7569983.6860022666</c:v>
                </c:pt>
                <c:pt idx="11">
                  <c:v>7569984.4777440568</c:v>
                </c:pt>
                <c:pt idx="12">
                  <c:v>7569999.2344620628</c:v>
                </c:pt>
                <c:pt idx="13">
                  <c:v>7570000.0262038531</c:v>
                </c:pt>
                <c:pt idx="14">
                  <c:v>7569996.0288733533</c:v>
                </c:pt>
                <c:pt idx="15">
                  <c:v>7569995.237131563</c:v>
                </c:pt>
                <c:pt idx="16">
                  <c:v>7569819.1434086645</c:v>
                </c:pt>
                <c:pt idx="17">
                  <c:v>7569818.9731629509</c:v>
                </c:pt>
                <c:pt idx="18">
                  <c:v>7569823.5470488705</c:v>
                </c:pt>
                <c:pt idx="19">
                  <c:v>7569823.717294584</c:v>
                </c:pt>
                <c:pt idx="20">
                  <c:v>7569826.308568676</c:v>
                </c:pt>
                <c:pt idx="21">
                  <c:v>7569826.4788143896</c:v>
                </c:pt>
                <c:pt idx="22">
                  <c:v>7569821.90492847</c:v>
                </c:pt>
                <c:pt idx="23">
                  <c:v>7569821.7346827565</c:v>
                </c:pt>
                <c:pt idx="24">
                  <c:v>7569630.3116281154</c:v>
                </c:pt>
                <c:pt idx="25">
                  <c:v>7569629.2332305992</c:v>
                </c:pt>
                <c:pt idx="26">
                  <c:v>7569631.035738538</c:v>
                </c:pt>
                <c:pt idx="27">
                  <c:v>7569632.1141360542</c:v>
                </c:pt>
                <c:pt idx="28">
                  <c:v>7569647.9062564746</c:v>
                </c:pt>
                <c:pt idx="29">
                  <c:v>7569648.9846539907</c:v>
                </c:pt>
                <c:pt idx="30">
                  <c:v>7569647.1821460519</c:v>
                </c:pt>
                <c:pt idx="31">
                  <c:v>7569646.1037485357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F1-43F0-86D3-DE8DB53F73CA}"/>
            </c:ext>
          </c:extLst>
        </c:ser>
        <c:ser>
          <c:idx val="1"/>
          <c:order val="2"/>
          <c:tx>
            <c:v>xy_culverts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'PointsTidy - master'!$L$4:$L$11</c:f>
              <c:numCache>
                <c:formatCode>General</c:formatCode>
                <c:ptCount val="8"/>
                <c:pt idx="0">
                  <c:v>687240.47098323505</c:v>
                </c:pt>
                <c:pt idx="1">
                  <c:v>687316.36780907097</c:v>
                </c:pt>
                <c:pt idx="2">
                  <c:v>691774.55839837098</c:v>
                </c:pt>
                <c:pt idx="3">
                  <c:v>691801.30686036195</c:v>
                </c:pt>
                <c:pt idx="4">
                  <c:v>691717.62504003604</c:v>
                </c:pt>
                <c:pt idx="5">
                  <c:v>691742.79459975695</c:v>
                </c:pt>
                <c:pt idx="6">
                  <c:v>691636.54376462696</c:v>
                </c:pt>
                <c:pt idx="7">
                  <c:v>691654.56182582898</c:v>
                </c:pt>
              </c:numCache>
            </c:numRef>
          </c:xVal>
          <c:yVal>
            <c:numRef>
              <c:f>'PointsTidy - master'!$M$4:$M$11</c:f>
              <c:numCache>
                <c:formatCode>General</c:formatCode>
                <c:ptCount val="8"/>
                <c:pt idx="0">
                  <c:v>7565130.9173056604</c:v>
                </c:pt>
                <c:pt idx="1">
                  <c:v>7565096.3571438901</c:v>
                </c:pt>
                <c:pt idx="2">
                  <c:v>7569997.4733193498</c:v>
                </c:pt>
                <c:pt idx="3">
                  <c:v>7569982.24155627</c:v>
                </c:pt>
                <c:pt idx="4">
                  <c:v>7569824.0726994304</c:v>
                </c:pt>
                <c:pt idx="5">
                  <c:v>7569821.3792779101</c:v>
                </c:pt>
                <c:pt idx="6">
                  <c:v>7569647.3285217602</c:v>
                </c:pt>
                <c:pt idx="7">
                  <c:v>7569630.8893628297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F1-43F0-86D3-DE8DB53F7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913512"/>
        <c:axId val="457918432"/>
      </c:scatterChart>
      <c:valAx>
        <c:axId val="457913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918432"/>
        <c:crosses val="autoZero"/>
        <c:crossBetween val="midCat"/>
      </c:valAx>
      <c:valAx>
        <c:axId val="45791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91351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'2d_zsh'!$D$2:$D$9</c:f>
              <c:numCache>
                <c:formatCode>General</c:formatCode>
                <c:ptCount val="8"/>
                <c:pt idx="0">
                  <c:v>687313.48591793678</c:v>
                </c:pt>
                <c:pt idx="1">
                  <c:v>687314.94205872272</c:v>
                </c:pt>
                <c:pt idx="2">
                  <c:v>687319.83215651941</c:v>
                </c:pt>
                <c:pt idx="3">
                  <c:v>687318.37601573346</c:v>
                </c:pt>
                <c:pt idx="4">
                  <c:v>687243.35287436924</c:v>
                </c:pt>
                <c:pt idx="5">
                  <c:v>687241.8967335833</c:v>
                </c:pt>
                <c:pt idx="6">
                  <c:v>687237.00663578662</c:v>
                </c:pt>
                <c:pt idx="7">
                  <c:v>687238.46277657256</c:v>
                </c:pt>
              </c:numCache>
            </c:numRef>
          </c:xVal>
          <c:yVal>
            <c:numRef>
              <c:f>'2d_zsh'!$E$2:$E$9</c:f>
              <c:numCache>
                <c:formatCode>General</c:formatCode>
                <c:ptCount val="8"/>
                <c:pt idx="0">
                  <c:v>7565091.1865439741</c:v>
                </c:pt>
                <c:pt idx="1">
                  <c:v>7565090.5234798659</c:v>
                </c:pt>
                <c:pt idx="2">
                  <c:v>7565101.2625181619</c:v>
                </c:pt>
                <c:pt idx="3">
                  <c:v>7565101.9255822701</c:v>
                </c:pt>
                <c:pt idx="4">
                  <c:v>7565136.0879055765</c:v>
                </c:pt>
                <c:pt idx="5">
                  <c:v>7565136.7509696847</c:v>
                </c:pt>
                <c:pt idx="6">
                  <c:v>7565126.0119313886</c:v>
                </c:pt>
                <c:pt idx="7">
                  <c:v>7565125.3488672804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55-4746-B22B-2345C53EAB7A}"/>
            </c:ext>
          </c:extLst>
        </c:ser>
        <c:ser>
          <c:idx val="1"/>
          <c:order val="1"/>
          <c:tx>
            <c:v>xy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'PointsTidy - master'!$L$4:$L$5</c:f>
              <c:numCache>
                <c:formatCode>General</c:formatCode>
                <c:ptCount val="2"/>
                <c:pt idx="0">
                  <c:v>687240.47098323505</c:v>
                </c:pt>
                <c:pt idx="1">
                  <c:v>687316.36780907097</c:v>
                </c:pt>
              </c:numCache>
            </c:numRef>
          </c:xVal>
          <c:yVal>
            <c:numRef>
              <c:f>'PointsTidy - master'!$M$4:$M$5</c:f>
              <c:numCache>
                <c:formatCode>General</c:formatCode>
                <c:ptCount val="2"/>
                <c:pt idx="0">
                  <c:v>7565130.9173056604</c:v>
                </c:pt>
                <c:pt idx="1">
                  <c:v>7565096.3571438901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55-4746-B22B-2345C53EA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913512"/>
        <c:axId val="457918432"/>
      </c:scatterChart>
      <c:valAx>
        <c:axId val="457913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918432"/>
        <c:crosses val="autoZero"/>
        <c:crossBetween val="midCat"/>
      </c:valAx>
      <c:valAx>
        <c:axId val="45791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913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0</xdr:rowOff>
    </xdr:from>
    <xdr:to>
      <xdr:col>19</xdr:col>
      <xdr:colOff>620141</xdr:colOff>
      <xdr:row>10</xdr:row>
      <xdr:rowOff>85950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4B48FE-1719-5A79-7625-0C3866690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9975" y="381000"/>
          <a:ext cx="7278116" cy="1609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56031</xdr:colOff>
      <xdr:row>21</xdr:row>
      <xdr:rowOff>59950</xdr:rowOff>
    </xdr:from>
    <xdr:to>
      <xdr:col>23</xdr:col>
      <xdr:colOff>691965</xdr:colOff>
      <xdr:row>49</xdr:row>
      <xdr:rowOff>11204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624613-5225-4285-B8A6-91DD5871A1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56031</xdr:colOff>
      <xdr:row>21</xdr:row>
      <xdr:rowOff>59950</xdr:rowOff>
    </xdr:from>
    <xdr:to>
      <xdr:col>23</xdr:col>
      <xdr:colOff>691965</xdr:colOff>
      <xdr:row>49</xdr:row>
      <xdr:rowOff>11204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8EFE01-03A1-4E76-943D-57F12FD5B5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56031</xdr:colOff>
      <xdr:row>21</xdr:row>
      <xdr:rowOff>59950</xdr:rowOff>
    </xdr:from>
    <xdr:to>
      <xdr:col>23</xdr:col>
      <xdr:colOff>691965</xdr:colOff>
      <xdr:row>49</xdr:row>
      <xdr:rowOff>11204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469191</xdr:colOff>
      <xdr:row>11</xdr:row>
      <xdr:rowOff>174364</xdr:rowOff>
    </xdr:from>
    <xdr:to>
      <xdr:col>23</xdr:col>
      <xdr:colOff>387501</xdr:colOff>
      <xdr:row>34</xdr:row>
      <xdr:rowOff>8628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89648</xdr:colOff>
      <xdr:row>44</xdr:row>
      <xdr:rowOff>22411</xdr:rowOff>
    </xdr:from>
    <xdr:to>
      <xdr:col>28</xdr:col>
      <xdr:colOff>299311</xdr:colOff>
      <xdr:row>66</xdr:row>
      <xdr:rowOff>47175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0CC31B-A005-438A-944D-F49BFFA89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23</xdr:row>
      <xdr:rowOff>47624</xdr:rowOff>
    </xdr:from>
    <xdr:to>
      <xdr:col>14</xdr:col>
      <xdr:colOff>848287</xdr:colOff>
      <xdr:row>39</xdr:row>
      <xdr:rowOff>56029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worfil1\fmg\300-11098-EPCM\4.0%2006000-Rail\2.0%20Engineering%20Working%20Files\24.0%20Hydrology\Sample%20Calcs%20MAC\4120_Railroad%20Drainage\4121_Northern%20Drainage\Copy%20of%204121_C_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od Design_4121-C-005"/>
      <sheetName val="Flavell Formulae"/>
      <sheetName val="Design Flood&amp;Culverts"/>
      <sheetName val="Formulaes10RFFP"/>
      <sheetName val="Culvert Schedule"/>
      <sheetName val="Formulae Protection"/>
      <sheetName val="revet_cut"/>
      <sheetName val="Formulaes revet"/>
      <sheetName val="coords"/>
      <sheetName val="Formulae Coords"/>
      <sheetName val="Instructions"/>
      <sheetName val="Calc_Sheet"/>
      <sheetName val="Rev_Pilbara IFM"/>
      <sheetName val="Culvert Data "/>
      <sheetName val="Inlet Prot"/>
      <sheetName val="Culvert Supply"/>
      <sheetName val="Exc_StabFill"/>
      <sheetName val="Ex_SF_Table"/>
      <sheetName val="Protection"/>
      <sheetName val="Costs"/>
      <sheetName val="CR_area"/>
      <sheetName val="Slope"/>
      <sheetName val="Ingal Summ"/>
      <sheetName val="levee"/>
      <sheetName val="e TYPE DRAIN"/>
      <sheetName val="Notes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Mining Area C to Yandi Railroad</v>
          </cell>
        </row>
        <row r="10">
          <cell r="A10" t="str">
            <v>32-39</v>
          </cell>
          <cell r="B10">
            <v>0</v>
          </cell>
          <cell r="C10">
            <v>548.57500000000005</v>
          </cell>
          <cell r="F10">
            <v>548.57500000000005</v>
          </cell>
        </row>
        <row r="11">
          <cell r="A11" t="str">
            <v>32-39</v>
          </cell>
          <cell r="B11">
            <v>10</v>
          </cell>
          <cell r="C11">
            <v>548.84900000000005</v>
          </cell>
          <cell r="F11">
            <v>548.76420746847486</v>
          </cell>
        </row>
        <row r="12">
          <cell r="A12" t="str">
            <v>32-39</v>
          </cell>
          <cell r="B12">
            <v>20</v>
          </cell>
          <cell r="C12">
            <v>548.72400000000005</v>
          </cell>
          <cell r="F12">
            <v>548.95341493694968</v>
          </cell>
        </row>
        <row r="13">
          <cell r="A13" t="str">
            <v>32-39</v>
          </cell>
          <cell r="B13">
            <v>30</v>
          </cell>
          <cell r="C13">
            <v>548.70799999999997</v>
          </cell>
          <cell r="F13">
            <v>549.1426224054245</v>
          </cell>
        </row>
        <row r="14">
          <cell r="A14" t="str">
            <v>32-39</v>
          </cell>
          <cell r="B14">
            <v>40</v>
          </cell>
          <cell r="C14">
            <v>548.99300000000005</v>
          </cell>
          <cell r="F14">
            <v>549.33182987389932</v>
          </cell>
        </row>
        <row r="15">
          <cell r="A15" t="str">
            <v>32-39</v>
          </cell>
          <cell r="B15">
            <v>40.707999999999998</v>
          </cell>
          <cell r="C15">
            <v>549.05999999999995</v>
          </cell>
          <cell r="F15">
            <v>549.34522576266738</v>
          </cell>
        </row>
        <row r="16">
          <cell r="A16" t="str">
            <v>32-39</v>
          </cell>
          <cell r="B16">
            <v>50</v>
          </cell>
          <cell r="C16">
            <v>549.05200000000002</v>
          </cell>
          <cell r="F16">
            <v>549.52103734237414</v>
          </cell>
        </row>
        <row r="17">
          <cell r="A17" t="str">
            <v>32-39</v>
          </cell>
          <cell r="B17">
            <v>60</v>
          </cell>
          <cell r="C17">
            <v>549.24300000000005</v>
          </cell>
          <cell r="F17">
            <v>549.71024481084896</v>
          </cell>
        </row>
        <row r="18">
          <cell r="B18">
            <v>70</v>
          </cell>
          <cell r="C18">
            <v>549.43899999999996</v>
          </cell>
          <cell r="F18">
            <v>549.89945227932378</v>
          </cell>
        </row>
        <row r="19">
          <cell r="B19">
            <v>78.963999999999999</v>
          </cell>
          <cell r="C19">
            <v>549.48099999999999</v>
          </cell>
          <cell r="F19">
            <v>550.06905785406457</v>
          </cell>
        </row>
        <row r="20">
          <cell r="B20">
            <v>80</v>
          </cell>
          <cell r="C20">
            <v>549.55399999999997</v>
          </cell>
          <cell r="F20">
            <v>550.0886597477986</v>
          </cell>
        </row>
        <row r="21">
          <cell r="B21">
            <v>90</v>
          </cell>
          <cell r="C21">
            <v>550.01700000000005</v>
          </cell>
          <cell r="F21">
            <v>550.27786721627342</v>
          </cell>
        </row>
        <row r="22">
          <cell r="B22">
            <v>100</v>
          </cell>
          <cell r="C22">
            <v>550.17700000000002</v>
          </cell>
          <cell r="F22">
            <v>550.46707468474824</v>
          </cell>
        </row>
        <row r="23">
          <cell r="B23">
            <v>110</v>
          </cell>
          <cell r="C23">
            <v>550.36099999999999</v>
          </cell>
          <cell r="F23">
            <v>550.65628215322306</v>
          </cell>
        </row>
        <row r="24">
          <cell r="B24">
            <v>120</v>
          </cell>
          <cell r="C24">
            <v>550.52300000000002</v>
          </cell>
          <cell r="F24">
            <v>550.84548962169788</v>
          </cell>
        </row>
        <row r="25">
          <cell r="B25">
            <v>129.06399999999999</v>
          </cell>
          <cell r="C25">
            <v>550.04</v>
          </cell>
          <cell r="F25">
            <v>551.01698727112341</v>
          </cell>
        </row>
        <row r="26">
          <cell r="B26">
            <v>130</v>
          </cell>
          <cell r="C26">
            <v>549.92600000000004</v>
          </cell>
          <cell r="F26">
            <v>551.0346970901727</v>
          </cell>
        </row>
        <row r="27">
          <cell r="B27">
            <v>140</v>
          </cell>
          <cell r="C27">
            <v>550.07899999999995</v>
          </cell>
          <cell r="F27">
            <v>551.22390455864752</v>
          </cell>
        </row>
        <row r="28">
          <cell r="B28">
            <v>150</v>
          </cell>
          <cell r="C28">
            <v>550.24900000000002</v>
          </cell>
          <cell r="F28">
            <v>551.41311202712234</v>
          </cell>
        </row>
        <row r="29">
          <cell r="B29">
            <v>160</v>
          </cell>
          <cell r="C29">
            <v>550.09400000000005</v>
          </cell>
          <cell r="F29">
            <v>551.60231949559716</v>
          </cell>
        </row>
        <row r="30">
          <cell r="B30">
            <v>165.69499999999999</v>
          </cell>
          <cell r="C30">
            <v>549.90800000000002</v>
          </cell>
          <cell r="F30">
            <v>551.71007314889357</v>
          </cell>
        </row>
        <row r="31">
          <cell r="B31">
            <v>170</v>
          </cell>
          <cell r="C31">
            <v>549.99400000000003</v>
          </cell>
          <cell r="F31">
            <v>551.79152696407198</v>
          </cell>
        </row>
        <row r="32">
          <cell r="B32">
            <v>180</v>
          </cell>
          <cell r="C32">
            <v>550.16300000000001</v>
          </cell>
          <cell r="F32">
            <v>551.9807344325468</v>
          </cell>
        </row>
        <row r="33">
          <cell r="B33">
            <v>183.67400000000001</v>
          </cell>
          <cell r="C33">
            <v>550.24900000000002</v>
          </cell>
          <cell r="F33">
            <v>552.05024925646444</v>
          </cell>
        </row>
        <row r="34">
          <cell r="B34">
            <v>190</v>
          </cell>
          <cell r="C34">
            <v>550.65599999999995</v>
          </cell>
          <cell r="F34">
            <v>552.16994190102162</v>
          </cell>
        </row>
        <row r="35">
          <cell r="B35">
            <v>195.13300000000001</v>
          </cell>
          <cell r="C35">
            <v>550.77099999999996</v>
          </cell>
          <cell r="F35">
            <v>552.26706209458973</v>
          </cell>
        </row>
        <row r="36">
          <cell r="B36">
            <v>200</v>
          </cell>
          <cell r="C36">
            <v>550.899</v>
          </cell>
          <cell r="F36">
            <v>552.35914936949644</v>
          </cell>
        </row>
        <row r="37">
          <cell r="B37">
            <v>210</v>
          </cell>
          <cell r="C37">
            <v>551.03099999999995</v>
          </cell>
          <cell r="F37">
            <v>552.54835683797126</v>
          </cell>
        </row>
        <row r="38">
          <cell r="B38">
            <v>220</v>
          </cell>
          <cell r="C38">
            <v>551.18799999999999</v>
          </cell>
          <cell r="F38">
            <v>552.73756430644607</v>
          </cell>
        </row>
        <row r="39">
          <cell r="B39">
            <v>221.15199999999999</v>
          </cell>
          <cell r="C39">
            <v>551.18499999999995</v>
          </cell>
          <cell r="F39">
            <v>552.7593610068144</v>
          </cell>
        </row>
        <row r="40">
          <cell r="B40">
            <v>230</v>
          </cell>
          <cell r="C40">
            <v>551.26199999999994</v>
          </cell>
          <cell r="F40">
            <v>552.92677177492089</v>
          </cell>
        </row>
        <row r="41">
          <cell r="B41">
            <v>240</v>
          </cell>
          <cell r="C41">
            <v>551.35299999999995</v>
          </cell>
          <cell r="F41">
            <v>553.11597924339571</v>
          </cell>
        </row>
        <row r="42">
          <cell r="B42">
            <v>250</v>
          </cell>
          <cell r="C42">
            <v>551.47699999999998</v>
          </cell>
          <cell r="F42">
            <v>553.30518671187053</v>
          </cell>
        </row>
        <row r="43">
          <cell r="B43">
            <v>260</v>
          </cell>
          <cell r="C43">
            <v>551.52200000000005</v>
          </cell>
          <cell r="F43">
            <v>553.49439418034535</v>
          </cell>
        </row>
        <row r="44">
          <cell r="B44">
            <v>268.04000000000002</v>
          </cell>
          <cell r="C44">
            <v>551.61300000000006</v>
          </cell>
          <cell r="F44">
            <v>553.64651698499904</v>
          </cell>
        </row>
        <row r="45">
          <cell r="B45">
            <v>270</v>
          </cell>
          <cell r="C45">
            <v>551.62199999999996</v>
          </cell>
          <cell r="F45">
            <v>553.68360164882006</v>
          </cell>
        </row>
        <row r="46">
          <cell r="B46">
            <v>280</v>
          </cell>
          <cell r="C46">
            <v>551.70000000000005</v>
          </cell>
          <cell r="F46">
            <v>553.87280911729488</v>
          </cell>
        </row>
        <row r="47">
          <cell r="B47">
            <v>290</v>
          </cell>
          <cell r="C47">
            <v>551.78399999999999</v>
          </cell>
          <cell r="F47">
            <v>554.0620165857697</v>
          </cell>
        </row>
        <row r="48">
          <cell r="B48">
            <v>300</v>
          </cell>
          <cell r="C48">
            <v>551.98500000000001</v>
          </cell>
          <cell r="F48">
            <v>554.25122405424452</v>
          </cell>
        </row>
        <row r="49">
          <cell r="B49">
            <v>310</v>
          </cell>
          <cell r="C49">
            <v>552.01900000000001</v>
          </cell>
          <cell r="F49">
            <v>554.44043152271934</v>
          </cell>
        </row>
        <row r="50">
          <cell r="B50">
            <v>319.00200000000001</v>
          </cell>
          <cell r="C50">
            <v>552.05600000000004</v>
          </cell>
          <cell r="F50">
            <v>554.61075608584031</v>
          </cell>
        </row>
        <row r="51">
          <cell r="B51">
            <v>320</v>
          </cell>
          <cell r="C51">
            <v>552.09</v>
          </cell>
          <cell r="F51">
            <v>554.62963899119404</v>
          </cell>
        </row>
        <row r="52">
          <cell r="B52">
            <v>330</v>
          </cell>
          <cell r="C52">
            <v>552.45600000000002</v>
          </cell>
          <cell r="F52">
            <v>554.81884645966886</v>
          </cell>
        </row>
        <row r="53">
          <cell r="B53">
            <v>340</v>
          </cell>
          <cell r="C53">
            <v>552.51700000000005</v>
          </cell>
          <cell r="F53">
            <v>555.00805392814368</v>
          </cell>
        </row>
        <row r="54">
          <cell r="B54">
            <v>350</v>
          </cell>
          <cell r="C54">
            <v>552.69000000000005</v>
          </cell>
          <cell r="F54">
            <v>555.1972613966185</v>
          </cell>
        </row>
        <row r="55">
          <cell r="B55">
            <v>352.22899999999998</v>
          </cell>
          <cell r="C55">
            <v>552.73</v>
          </cell>
          <cell r="F55">
            <v>555.23943574134148</v>
          </cell>
        </row>
        <row r="56">
          <cell r="B56">
            <v>360</v>
          </cell>
          <cell r="C56">
            <v>552.84400000000005</v>
          </cell>
          <cell r="F56">
            <v>555.38646886509321</v>
          </cell>
        </row>
        <row r="57">
          <cell r="B57">
            <v>370</v>
          </cell>
          <cell r="C57">
            <v>552.90099999999995</v>
          </cell>
          <cell r="F57">
            <v>555.57567633356803</v>
          </cell>
        </row>
        <row r="58">
          <cell r="B58">
            <v>380</v>
          </cell>
          <cell r="C58">
            <v>552.99599999999998</v>
          </cell>
          <cell r="F58">
            <v>555.76488380204285</v>
          </cell>
        </row>
        <row r="59">
          <cell r="B59">
            <v>390</v>
          </cell>
          <cell r="C59">
            <v>553.08199999999999</v>
          </cell>
          <cell r="F59">
            <v>555.95409127051767</v>
          </cell>
        </row>
        <row r="60">
          <cell r="B60">
            <v>400</v>
          </cell>
          <cell r="C60">
            <v>553.149</v>
          </cell>
          <cell r="F60">
            <v>556.14329873899248</v>
          </cell>
        </row>
        <row r="61">
          <cell r="B61">
            <v>401.238</v>
          </cell>
          <cell r="C61">
            <v>553.17499999999995</v>
          </cell>
          <cell r="F61">
            <v>556.16672262358964</v>
          </cell>
        </row>
        <row r="62">
          <cell r="B62">
            <v>410</v>
          </cell>
          <cell r="C62">
            <v>553.322</v>
          </cell>
          <cell r="F62">
            <v>556.3325062074673</v>
          </cell>
        </row>
        <row r="63">
          <cell r="B63">
            <v>420</v>
          </cell>
          <cell r="C63">
            <v>553.41600000000005</v>
          </cell>
          <cell r="F63">
            <v>556.52171367594212</v>
          </cell>
        </row>
        <row r="64">
          <cell r="B64">
            <v>430</v>
          </cell>
          <cell r="C64">
            <v>553.46100000000001</v>
          </cell>
          <cell r="F64">
            <v>556.71092114441694</v>
          </cell>
        </row>
        <row r="65">
          <cell r="B65">
            <v>430.32100000000003</v>
          </cell>
          <cell r="C65">
            <v>553.46900000000005</v>
          </cell>
          <cell r="F65">
            <v>556.71699470415501</v>
          </cell>
        </row>
        <row r="66">
          <cell r="B66">
            <v>440</v>
          </cell>
          <cell r="C66">
            <v>553.61599999999999</v>
          </cell>
          <cell r="F66">
            <v>556.90012861289176</v>
          </cell>
        </row>
        <row r="67">
          <cell r="B67">
            <v>450</v>
          </cell>
          <cell r="C67">
            <v>553.58600000000001</v>
          </cell>
          <cell r="F67">
            <v>557.08933608136658</v>
          </cell>
        </row>
        <row r="68">
          <cell r="B68">
            <v>460</v>
          </cell>
          <cell r="C68">
            <v>553.822</v>
          </cell>
          <cell r="F68">
            <v>557.2785435498414</v>
          </cell>
        </row>
        <row r="69">
          <cell r="B69">
            <v>469.51299999999998</v>
          </cell>
          <cell r="C69">
            <v>554.03</v>
          </cell>
          <cell r="F69">
            <v>557.45853661460148</v>
          </cell>
        </row>
        <row r="70">
          <cell r="B70">
            <v>470</v>
          </cell>
          <cell r="C70">
            <v>554.029</v>
          </cell>
          <cell r="F70">
            <v>557.46775101831622</v>
          </cell>
        </row>
        <row r="71">
          <cell r="B71">
            <v>480</v>
          </cell>
          <cell r="C71">
            <v>554.12199999999996</v>
          </cell>
          <cell r="F71">
            <v>557.65695848679104</v>
          </cell>
        </row>
        <row r="72">
          <cell r="B72">
            <v>490</v>
          </cell>
          <cell r="C72">
            <v>554.21299999999997</v>
          </cell>
          <cell r="F72">
            <v>557.84616595526586</v>
          </cell>
        </row>
        <row r="73">
          <cell r="B73">
            <v>500</v>
          </cell>
          <cell r="C73">
            <v>554.39700000000005</v>
          </cell>
          <cell r="F73">
            <v>558.03537342374068</v>
          </cell>
        </row>
        <row r="74">
          <cell r="B74">
            <v>509.21899999999999</v>
          </cell>
          <cell r="C74">
            <v>554.529</v>
          </cell>
          <cell r="F74">
            <v>558.20980378892762</v>
          </cell>
        </row>
        <row r="75">
          <cell r="B75">
            <v>510</v>
          </cell>
          <cell r="C75">
            <v>554.54399999999998</v>
          </cell>
          <cell r="F75">
            <v>558.2245808922155</v>
          </cell>
        </row>
        <row r="76">
          <cell r="B76">
            <v>520</v>
          </cell>
          <cell r="C76">
            <v>554.62300000000005</v>
          </cell>
          <cell r="F76">
            <v>558.41378836069032</v>
          </cell>
        </row>
        <row r="77">
          <cell r="B77">
            <v>530</v>
          </cell>
          <cell r="C77">
            <v>554.572</v>
          </cell>
          <cell r="F77">
            <v>558.60299582916514</v>
          </cell>
        </row>
        <row r="78">
          <cell r="B78">
            <v>540</v>
          </cell>
          <cell r="C78">
            <v>554.69500000000005</v>
          </cell>
          <cell r="F78">
            <v>558.79220329763996</v>
          </cell>
        </row>
        <row r="79">
          <cell r="B79">
            <v>542.47900000000004</v>
          </cell>
          <cell r="C79">
            <v>554.73900000000003</v>
          </cell>
          <cell r="F79">
            <v>558.83910782907481</v>
          </cell>
        </row>
        <row r="80">
          <cell r="B80">
            <v>550</v>
          </cell>
          <cell r="C80">
            <v>554.84</v>
          </cell>
          <cell r="F80">
            <v>558.98141076611466</v>
          </cell>
        </row>
        <row r="81">
          <cell r="B81">
            <v>560</v>
          </cell>
          <cell r="C81">
            <v>554.98800000000006</v>
          </cell>
          <cell r="F81">
            <v>559.17061823458948</v>
          </cell>
        </row>
        <row r="82">
          <cell r="B82">
            <v>570</v>
          </cell>
          <cell r="C82">
            <v>555.298</v>
          </cell>
          <cell r="F82">
            <v>559.3598257030643</v>
          </cell>
        </row>
        <row r="83">
          <cell r="B83">
            <v>580</v>
          </cell>
          <cell r="C83">
            <v>555.298</v>
          </cell>
          <cell r="F83">
            <v>559.54903317153912</v>
          </cell>
        </row>
        <row r="84">
          <cell r="B84">
            <v>583.18799999999999</v>
          </cell>
          <cell r="C84">
            <v>555.28800000000001</v>
          </cell>
          <cell r="F84">
            <v>559.60935251248884</v>
          </cell>
        </row>
        <row r="85">
          <cell r="B85">
            <v>590</v>
          </cell>
          <cell r="C85">
            <v>555.35900000000004</v>
          </cell>
          <cell r="F85">
            <v>559.73824064001383</v>
          </cell>
        </row>
        <row r="86">
          <cell r="B86">
            <v>600</v>
          </cell>
          <cell r="C86">
            <v>555.57799999999997</v>
          </cell>
          <cell r="F86">
            <v>559.92744810848865</v>
          </cell>
        </row>
        <row r="87">
          <cell r="B87">
            <v>610</v>
          </cell>
          <cell r="C87">
            <v>555.84900000000005</v>
          </cell>
          <cell r="F87">
            <v>560.11665557696347</v>
          </cell>
        </row>
        <row r="88">
          <cell r="B88">
            <v>620</v>
          </cell>
          <cell r="C88">
            <v>556.16099999999994</v>
          </cell>
          <cell r="F88">
            <v>560.30586304543829</v>
          </cell>
        </row>
        <row r="89">
          <cell r="B89">
            <v>622.07100000000003</v>
          </cell>
          <cell r="C89">
            <v>556.20399999999995</v>
          </cell>
          <cell r="F89">
            <v>560.34504791215943</v>
          </cell>
        </row>
        <row r="90">
          <cell r="B90">
            <v>630</v>
          </cell>
          <cell r="C90">
            <v>556.23199999999997</v>
          </cell>
          <cell r="F90">
            <v>560.49507051391311</v>
          </cell>
        </row>
        <row r="91">
          <cell r="B91">
            <v>640</v>
          </cell>
          <cell r="C91">
            <v>556.22799999999995</v>
          </cell>
          <cell r="F91">
            <v>560.68427798238793</v>
          </cell>
        </row>
        <row r="92">
          <cell r="B92">
            <v>650</v>
          </cell>
          <cell r="C92">
            <v>556.26199999999994</v>
          </cell>
          <cell r="F92">
            <v>560.87348545086274</v>
          </cell>
        </row>
        <row r="93">
          <cell r="B93">
            <v>660</v>
          </cell>
          <cell r="C93">
            <v>556.28899999999999</v>
          </cell>
          <cell r="F93">
            <v>561.06269291933756</v>
          </cell>
        </row>
        <row r="94">
          <cell r="B94">
            <v>669.26800000000003</v>
          </cell>
          <cell r="C94">
            <v>556.36</v>
          </cell>
          <cell r="F94">
            <v>561.23805040112006</v>
          </cell>
        </row>
        <row r="95">
          <cell r="B95">
            <v>670</v>
          </cell>
          <cell r="C95">
            <v>556.36300000000006</v>
          </cell>
          <cell r="F95">
            <v>561.25190038781238</v>
          </cell>
        </row>
        <row r="96">
          <cell r="B96">
            <v>680</v>
          </cell>
          <cell r="C96">
            <v>556.74599999999998</v>
          </cell>
          <cell r="F96">
            <v>561.4411078562872</v>
          </cell>
        </row>
        <row r="97">
          <cell r="B97">
            <v>690</v>
          </cell>
          <cell r="C97">
            <v>557.03300000000002</v>
          </cell>
          <cell r="F97">
            <v>561.63031532476202</v>
          </cell>
        </row>
        <row r="98">
          <cell r="B98">
            <v>700</v>
          </cell>
          <cell r="C98">
            <v>557.35599999999999</v>
          </cell>
          <cell r="F98">
            <v>561.81952279323684</v>
          </cell>
        </row>
        <row r="99">
          <cell r="B99">
            <v>709.14200000000005</v>
          </cell>
          <cell r="C99">
            <v>557.52099999999996</v>
          </cell>
          <cell r="F99">
            <v>561.99249626091648</v>
          </cell>
        </row>
        <row r="100">
          <cell r="B100">
            <v>710</v>
          </cell>
          <cell r="C100">
            <v>557.54100000000005</v>
          </cell>
          <cell r="F100">
            <v>562.00873026171166</v>
          </cell>
        </row>
        <row r="101">
          <cell r="B101">
            <v>720</v>
          </cell>
          <cell r="C101">
            <v>557.57500000000005</v>
          </cell>
          <cell r="F101">
            <v>562.19793773018648</v>
          </cell>
        </row>
        <row r="102">
          <cell r="B102">
            <v>730</v>
          </cell>
          <cell r="C102">
            <v>557.60699999999997</v>
          </cell>
          <cell r="F102">
            <v>562.3871451986613</v>
          </cell>
        </row>
        <row r="103">
          <cell r="B103">
            <v>740</v>
          </cell>
          <cell r="C103">
            <v>557.59299999999996</v>
          </cell>
          <cell r="F103">
            <v>562.57635266713612</v>
          </cell>
        </row>
        <row r="104">
          <cell r="B104">
            <v>744.91</v>
          </cell>
          <cell r="C104">
            <v>557.65899999999999</v>
          </cell>
          <cell r="F104">
            <v>562.66925353415729</v>
          </cell>
        </row>
        <row r="105">
          <cell r="B105">
            <v>750</v>
          </cell>
          <cell r="C105">
            <v>557.82299999999998</v>
          </cell>
          <cell r="F105">
            <v>562.76556013561094</v>
          </cell>
        </row>
        <row r="106">
          <cell r="B106">
            <v>760</v>
          </cell>
          <cell r="C106">
            <v>557.89</v>
          </cell>
          <cell r="F106">
            <v>562.95476760408576</v>
          </cell>
        </row>
        <row r="107">
          <cell r="B107">
            <v>770</v>
          </cell>
          <cell r="C107">
            <v>558.21199999999999</v>
          </cell>
          <cell r="F107">
            <v>563.14397507256058</v>
          </cell>
        </row>
        <row r="108">
          <cell r="B108">
            <v>776.5</v>
          </cell>
          <cell r="C108">
            <v>558.47199999999998</v>
          </cell>
          <cell r="F108">
            <v>563.26695992706925</v>
          </cell>
        </row>
        <row r="109">
          <cell r="B109">
            <v>780</v>
          </cell>
          <cell r="C109">
            <v>558.51099999999997</v>
          </cell>
          <cell r="F109">
            <v>563.3331825410354</v>
          </cell>
        </row>
        <row r="110">
          <cell r="B110">
            <v>790</v>
          </cell>
          <cell r="C110">
            <v>558.28800000000001</v>
          </cell>
          <cell r="F110">
            <v>563.52239000951022</v>
          </cell>
        </row>
        <row r="111">
          <cell r="B111">
            <v>800</v>
          </cell>
          <cell r="C111">
            <v>558.49199999999996</v>
          </cell>
          <cell r="F111">
            <v>563.71159747798504</v>
          </cell>
        </row>
        <row r="112">
          <cell r="B112">
            <v>807.54</v>
          </cell>
          <cell r="C112">
            <v>558.46900000000005</v>
          </cell>
          <cell r="F112">
            <v>563.85425990921499</v>
          </cell>
        </row>
        <row r="113">
          <cell r="B113">
            <v>810</v>
          </cell>
          <cell r="C113">
            <v>558.62400000000002</v>
          </cell>
          <cell r="F113">
            <v>563.90080494645974</v>
          </cell>
        </row>
        <row r="114">
          <cell r="B114">
            <v>820</v>
          </cell>
          <cell r="C114">
            <v>559.03800000000001</v>
          </cell>
          <cell r="F114">
            <v>564.09001241493456</v>
          </cell>
        </row>
        <row r="115">
          <cell r="B115">
            <v>829.20799999999997</v>
          </cell>
          <cell r="C115">
            <v>559.33699999999999</v>
          </cell>
          <cell r="F115">
            <v>564.26423465190612</v>
          </cell>
        </row>
        <row r="116">
          <cell r="B116">
            <v>830</v>
          </cell>
          <cell r="C116">
            <v>559.34299999999996</v>
          </cell>
          <cell r="F116">
            <v>564.27921988340938</v>
          </cell>
        </row>
        <row r="117">
          <cell r="B117">
            <v>840</v>
          </cell>
          <cell r="C117">
            <v>559.36099999999999</v>
          </cell>
          <cell r="F117">
            <v>564.4684273518842</v>
          </cell>
        </row>
        <row r="118">
          <cell r="B118">
            <v>850</v>
          </cell>
          <cell r="C118">
            <v>559.38300000000004</v>
          </cell>
          <cell r="F118">
            <v>564.65763482035902</v>
          </cell>
        </row>
        <row r="119">
          <cell r="B119">
            <v>860</v>
          </cell>
          <cell r="C119">
            <v>559.46500000000003</v>
          </cell>
          <cell r="F119">
            <v>564.84684228883384</v>
          </cell>
        </row>
        <row r="120">
          <cell r="B120">
            <v>867.38599999999997</v>
          </cell>
          <cell r="C120">
            <v>559.45500000000004</v>
          </cell>
          <cell r="F120">
            <v>564.98659092504931</v>
          </cell>
        </row>
        <row r="121">
          <cell r="B121">
            <v>870</v>
          </cell>
          <cell r="C121">
            <v>559.45299999999997</v>
          </cell>
          <cell r="F121">
            <v>565.03604975730866</v>
          </cell>
        </row>
        <row r="122">
          <cell r="B122">
            <v>880</v>
          </cell>
          <cell r="C122">
            <v>559.41899999999998</v>
          </cell>
          <cell r="F122">
            <v>565.22525722578348</v>
          </cell>
        </row>
        <row r="123">
          <cell r="B123">
            <v>890</v>
          </cell>
          <cell r="C123">
            <v>559.721</v>
          </cell>
          <cell r="F123">
            <v>565.4144646942583</v>
          </cell>
        </row>
        <row r="124">
          <cell r="B124">
            <v>900</v>
          </cell>
          <cell r="C124">
            <v>560.11199999999997</v>
          </cell>
          <cell r="F124">
            <v>565.60367216273312</v>
          </cell>
        </row>
        <row r="125">
          <cell r="B125">
            <v>905.53</v>
          </cell>
          <cell r="C125">
            <v>560.30700000000002</v>
          </cell>
          <cell r="F125">
            <v>565.70830389279968</v>
          </cell>
        </row>
        <row r="126">
          <cell r="B126">
            <v>910</v>
          </cell>
          <cell r="C126">
            <v>560.28899999999999</v>
          </cell>
          <cell r="F126">
            <v>565.79287963120794</v>
          </cell>
        </row>
        <row r="127">
          <cell r="B127">
            <v>920</v>
          </cell>
          <cell r="C127">
            <v>560.19299999999998</v>
          </cell>
          <cell r="F127">
            <v>565.98208709968276</v>
          </cell>
        </row>
        <row r="128">
          <cell r="B128">
            <v>930</v>
          </cell>
          <cell r="C128">
            <v>560.13499999999999</v>
          </cell>
          <cell r="F128">
            <v>566.17129456815758</v>
          </cell>
        </row>
        <row r="129">
          <cell r="B129">
            <v>937.23</v>
          </cell>
          <cell r="C129">
            <v>560.25599999999997</v>
          </cell>
          <cell r="F129">
            <v>566.30809156786484</v>
          </cell>
        </row>
        <row r="130">
          <cell r="B130">
            <v>940</v>
          </cell>
          <cell r="C130">
            <v>560.37900000000002</v>
          </cell>
          <cell r="F130">
            <v>566.3605020366324</v>
          </cell>
        </row>
        <row r="131">
          <cell r="B131">
            <v>950</v>
          </cell>
          <cell r="C131">
            <v>560.53499999999997</v>
          </cell>
          <cell r="F131">
            <v>566.54970950510722</v>
          </cell>
        </row>
        <row r="132">
          <cell r="B132">
            <v>960</v>
          </cell>
          <cell r="C132">
            <v>560.94600000000003</v>
          </cell>
          <cell r="F132">
            <v>566.73891697358204</v>
          </cell>
        </row>
        <row r="133">
          <cell r="B133">
            <v>965.83900000000006</v>
          </cell>
          <cell r="C133">
            <v>560.93899999999996</v>
          </cell>
          <cell r="F133">
            <v>566.84939521442448</v>
          </cell>
        </row>
        <row r="134">
          <cell r="B134">
            <v>970</v>
          </cell>
          <cell r="C134">
            <v>561</v>
          </cell>
          <cell r="F134">
            <v>566.92812444205686</v>
          </cell>
        </row>
        <row r="135">
          <cell r="B135">
            <v>980</v>
          </cell>
          <cell r="C135">
            <v>561.50800000000004</v>
          </cell>
          <cell r="F135">
            <v>567.11733191053168</v>
          </cell>
        </row>
        <row r="136">
          <cell r="B136">
            <v>990</v>
          </cell>
          <cell r="C136">
            <v>561.66499999999996</v>
          </cell>
          <cell r="F136">
            <v>567.30653937900649</v>
          </cell>
        </row>
        <row r="137">
          <cell r="B137">
            <v>1000</v>
          </cell>
          <cell r="C137">
            <v>561.59900000000005</v>
          </cell>
          <cell r="F137">
            <v>567.49574684748131</v>
          </cell>
        </row>
        <row r="138">
          <cell r="B138">
            <v>1005.651</v>
          </cell>
          <cell r="C138">
            <v>561.54600000000005</v>
          </cell>
          <cell r="F138">
            <v>567.60266798791645</v>
          </cell>
        </row>
        <row r="139">
          <cell r="B139">
            <v>1010</v>
          </cell>
          <cell r="C139">
            <v>561.68399999999997</v>
          </cell>
          <cell r="F139">
            <v>567.68495431595613</v>
          </cell>
        </row>
        <row r="140">
          <cell r="B140">
            <v>1020</v>
          </cell>
          <cell r="C140">
            <v>562.05999999999995</v>
          </cell>
          <cell r="F140">
            <v>567.87416178443095</v>
          </cell>
        </row>
        <row r="141">
          <cell r="B141">
            <v>1030</v>
          </cell>
          <cell r="C141">
            <v>562.38599999999997</v>
          </cell>
          <cell r="F141">
            <v>568.06336925290577</v>
          </cell>
        </row>
        <row r="142">
          <cell r="B142">
            <v>1040</v>
          </cell>
          <cell r="C142">
            <v>562.67899999999997</v>
          </cell>
          <cell r="F142">
            <v>568.25257672138059</v>
          </cell>
        </row>
        <row r="143">
          <cell r="B143">
            <v>1050</v>
          </cell>
          <cell r="C143">
            <v>563.05499999999995</v>
          </cell>
          <cell r="F143">
            <v>568.44178418985541</v>
          </cell>
        </row>
        <row r="144">
          <cell r="B144">
            <v>1050.3119999999999</v>
          </cell>
          <cell r="C144">
            <v>563.07000000000005</v>
          </cell>
          <cell r="F144">
            <v>568.44768746287184</v>
          </cell>
        </row>
        <row r="145">
          <cell r="B145">
            <v>1060</v>
          </cell>
          <cell r="C145">
            <v>561.50099999999998</v>
          </cell>
          <cell r="F145">
            <v>568.63099165833023</v>
          </cell>
        </row>
        <row r="146">
          <cell r="B146">
            <v>1070</v>
          </cell>
          <cell r="C146">
            <v>561.928</v>
          </cell>
          <cell r="F146">
            <v>568.82019912680505</v>
          </cell>
        </row>
        <row r="147">
          <cell r="B147">
            <v>1080</v>
          </cell>
          <cell r="C147">
            <v>562.30999999999995</v>
          </cell>
          <cell r="F147">
            <v>569.00940659527987</v>
          </cell>
        </row>
        <row r="148">
          <cell r="B148">
            <v>1090</v>
          </cell>
          <cell r="C148">
            <v>562.351</v>
          </cell>
          <cell r="F148">
            <v>569.19861406375469</v>
          </cell>
        </row>
        <row r="149">
          <cell r="B149">
            <v>1094.433</v>
          </cell>
          <cell r="C149">
            <v>562.44000000000005</v>
          </cell>
          <cell r="F149">
            <v>569.28248973452958</v>
          </cell>
        </row>
        <row r="150">
          <cell r="B150">
            <v>1100</v>
          </cell>
          <cell r="C150">
            <v>562.56299999999999</v>
          </cell>
          <cell r="F150">
            <v>569.38782153222951</v>
          </cell>
        </row>
      </sheetData>
      <sheetData sheetId="22"/>
      <sheetData sheetId="23"/>
      <sheetData sheetId="24"/>
      <sheetData sheetId="2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9B3532-24F8-4350-8906-A76E36EE5304}" name="Table14" displayName="Table14" ref="AG10:AI12" totalsRowShown="0">
  <autoFilter ref="AG10:AI12" xr:uid="{881DE913-645B-4007-81E2-41C42B2F991E}"/>
  <tableColumns count="3">
    <tableColumn id="1" xr3:uid="{858D3CF7-8ACD-4591-8172-569FE64B7B07}" name="Type"/>
    <tableColumn id="2" xr3:uid="{80D8FB8B-3981-4407-A6B4-567A67276CD0}" name="mannings"/>
    <tableColumn id="3" xr3:uid="{27FFCDF4-736E-4203-B23F-4263C3D2609F}" name="pip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1DE913-645B-4007-81E2-41C42B2F991E}" name="Table1" displayName="Table1" ref="AG10:AI12" totalsRowShown="0">
  <autoFilter ref="AG10:AI12" xr:uid="{881DE913-645B-4007-81E2-41C42B2F991E}"/>
  <tableColumns count="3">
    <tableColumn id="1" xr3:uid="{3010ED78-8EC3-44FE-A397-F06AD3EC119E}" name="Type"/>
    <tableColumn id="2" xr3:uid="{90FF24C2-5BF7-4B86-9C09-4BEA6FC8DE8E}" name="mannings"/>
    <tableColumn id="3" xr3:uid="{1A96574F-20B7-477F-A3F2-79DE02AFBE73}" name="pip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01B8-3F9E-4C40-A253-8D8D54895D4E}">
  <dimension ref="A1:K56"/>
  <sheetViews>
    <sheetView workbookViewId="0"/>
  </sheetViews>
  <sheetFormatPr defaultRowHeight="15" x14ac:dyDescent="0.25"/>
  <cols>
    <col min="2" max="2" width="7.42578125" bestFit="1" customWidth="1"/>
    <col min="3" max="3" width="11.42578125" bestFit="1" customWidth="1"/>
    <col min="4" max="4" width="14.5703125" bestFit="1" customWidth="1"/>
    <col min="5" max="5" width="8.28515625" bestFit="1" customWidth="1"/>
    <col min="6" max="6" width="12" bestFit="1" customWidth="1"/>
    <col min="7" max="7" width="16.28515625" bestFit="1" customWidth="1"/>
    <col min="8" max="8" width="13.42578125" bestFit="1" customWidth="1"/>
    <col min="9" max="9" width="9.7109375" bestFit="1" customWidth="1"/>
    <col min="10" max="10" width="9" bestFit="1" customWidth="1"/>
    <col min="11" max="11" width="10.140625" bestFit="1" customWidth="1"/>
    <col min="12" max="12" width="12.7109375" bestFit="1" customWidth="1"/>
    <col min="13" max="14" width="12" bestFit="1" customWidth="1"/>
    <col min="15" max="15" width="10.140625" bestFit="1" customWidth="1"/>
    <col min="16" max="16" width="17" bestFit="1" customWidth="1"/>
    <col min="17" max="17" width="5.85546875" bestFit="1" customWidth="1"/>
    <col min="18" max="19" width="10" bestFit="1" customWidth="1"/>
    <col min="20" max="20" width="11.7109375" bestFit="1" customWidth="1"/>
    <col min="21" max="21" width="9.42578125" bestFit="1" customWidth="1"/>
    <col min="22" max="23" width="8.7109375" bestFit="1" customWidth="1"/>
    <col min="25" max="25" width="10" bestFit="1" customWidth="1"/>
    <col min="26" max="26" width="11.7109375" bestFit="1" customWidth="1"/>
    <col min="27" max="28" width="6.140625" bestFit="1" customWidth="1"/>
    <col min="29" max="29" width="8.7109375" bestFit="1" customWidth="1"/>
    <col min="30" max="30" width="5.42578125" bestFit="1" customWidth="1"/>
    <col min="31" max="31" width="8" bestFit="1" customWidth="1"/>
    <col min="32" max="32" width="10" bestFit="1" customWidth="1"/>
    <col min="33" max="33" width="17" bestFit="1" customWidth="1"/>
    <col min="34" max="34" width="30.5703125" bestFit="1" customWidth="1"/>
    <col min="35" max="35" width="7.42578125" bestFit="1" customWidth="1"/>
    <col min="36" max="36" width="10.140625" bestFit="1" customWidth="1"/>
    <col min="37" max="37" width="14.7109375" bestFit="1" customWidth="1"/>
    <col min="38" max="38" width="20.85546875" bestFit="1" customWidth="1"/>
    <col min="39" max="39" width="20.140625" bestFit="1" customWidth="1"/>
    <col min="40" max="40" width="23.85546875" bestFit="1" customWidth="1"/>
    <col min="41" max="42" width="22.42578125" bestFit="1" customWidth="1"/>
    <col min="43" max="43" width="13.5703125" bestFit="1" customWidth="1"/>
    <col min="44" max="44" width="10.42578125" bestFit="1" customWidth="1"/>
    <col min="45" max="45" width="8.85546875" bestFit="1" customWidth="1"/>
    <col min="46" max="46" width="16.7109375" bestFit="1" customWidth="1"/>
    <col min="47" max="47" width="14.28515625" bestFit="1" customWidth="1"/>
    <col min="48" max="48" width="31.42578125" bestFit="1" customWidth="1"/>
    <col min="49" max="49" width="24.140625" bestFit="1" customWidth="1"/>
    <col min="50" max="50" width="22" bestFit="1" customWidth="1"/>
    <col min="51" max="51" width="15" bestFit="1" customWidth="1"/>
    <col min="52" max="53" width="19.85546875" bestFit="1" customWidth="1"/>
    <col min="54" max="55" width="24.28515625" bestFit="1" customWidth="1"/>
    <col min="56" max="57" width="19.85546875" bestFit="1" customWidth="1"/>
    <col min="58" max="59" width="24.28515625" bestFit="1" customWidth="1"/>
    <col min="60" max="60" width="16.140625" bestFit="1" customWidth="1"/>
    <col min="61" max="61" width="11.7109375" bestFit="1" customWidth="1"/>
    <col min="62" max="62" width="11.5703125" bestFit="1" customWidth="1"/>
    <col min="63" max="63" width="23.140625" bestFit="1" customWidth="1"/>
    <col min="64" max="64" width="15" bestFit="1" customWidth="1"/>
    <col min="65" max="65" width="13.42578125" bestFit="1" customWidth="1"/>
    <col min="66" max="66" width="18.5703125" bestFit="1" customWidth="1"/>
    <col min="67" max="67" width="15.85546875" bestFit="1" customWidth="1"/>
    <col min="68" max="68" width="15.7109375" bestFit="1" customWidth="1"/>
    <col min="69" max="69" width="10.42578125" bestFit="1" customWidth="1"/>
    <col min="70" max="70" width="10.7109375" bestFit="1" customWidth="1"/>
    <col min="71" max="71" width="16.140625" bestFit="1" customWidth="1"/>
    <col min="72" max="72" width="23.85546875" bestFit="1" customWidth="1"/>
    <col min="73" max="74" width="15.5703125" bestFit="1" customWidth="1"/>
    <col min="75" max="75" width="13.28515625" bestFit="1" customWidth="1"/>
    <col min="76" max="76" width="8.7109375" bestFit="1" customWidth="1"/>
    <col min="77" max="77" width="13.28515625" bestFit="1" customWidth="1"/>
    <col min="78" max="78" width="18.85546875" bestFit="1" customWidth="1"/>
    <col min="79" max="79" width="11.28515625" bestFit="1" customWidth="1"/>
    <col min="80" max="80" width="12.140625" bestFit="1" customWidth="1"/>
    <col min="81" max="81" width="10" bestFit="1" customWidth="1"/>
    <col min="82" max="82" width="15" bestFit="1" customWidth="1"/>
    <col min="83" max="83" width="7.85546875" bestFit="1" customWidth="1"/>
    <col min="84" max="84" width="11.7109375" bestFit="1" customWidth="1"/>
    <col min="85" max="85" width="10" bestFit="1" customWidth="1"/>
    <col min="86" max="86" width="5.7109375" bestFit="1" customWidth="1"/>
    <col min="87" max="87" width="16.5703125" bestFit="1" customWidth="1"/>
    <col min="88" max="88" width="17" bestFit="1" customWidth="1"/>
    <col min="89" max="89" width="22.5703125" bestFit="1" customWidth="1"/>
    <col min="90" max="90" width="17.42578125" bestFit="1" customWidth="1"/>
    <col min="91" max="91" width="13.5703125" bestFit="1" customWidth="1"/>
    <col min="92" max="93" width="10" bestFit="1" customWidth="1"/>
    <col min="94" max="94" width="25" bestFit="1" customWidth="1"/>
    <col min="95" max="95" width="27.7109375" bestFit="1" customWidth="1"/>
    <col min="96" max="96" width="27.42578125" bestFit="1" customWidth="1"/>
    <col min="97" max="97" width="13.5703125" bestFit="1" customWidth="1"/>
    <col min="98" max="98" width="11.28515625" bestFit="1" customWidth="1"/>
    <col min="99" max="99" width="15" bestFit="1" customWidth="1"/>
    <col min="100" max="100" width="12" bestFit="1" customWidth="1"/>
    <col min="101" max="101" width="11.85546875" bestFit="1" customWidth="1"/>
    <col min="102" max="103" width="15.7109375" bestFit="1" customWidth="1"/>
    <col min="104" max="104" width="13.28515625" bestFit="1" customWidth="1"/>
    <col min="105" max="105" width="15.7109375" bestFit="1" customWidth="1"/>
    <col min="106" max="106" width="17.7109375" bestFit="1" customWidth="1"/>
    <col min="107" max="107" width="22" bestFit="1" customWidth="1"/>
  </cols>
  <sheetData>
    <row r="1" spans="1:11" x14ac:dyDescent="0.25">
      <c r="A1" t="s">
        <v>196</v>
      </c>
      <c r="K1" t="s">
        <v>149</v>
      </c>
    </row>
    <row r="2" spans="1:11" x14ac:dyDescent="0.25">
      <c r="A2" t="s">
        <v>197</v>
      </c>
    </row>
    <row r="3" spans="1:11" x14ac:dyDescent="0.25">
      <c r="A3" t="s">
        <v>196</v>
      </c>
    </row>
    <row r="4" spans="1:11" x14ac:dyDescent="0.25">
      <c r="A4" t="s">
        <v>198</v>
      </c>
    </row>
    <row r="5" spans="1:11" x14ac:dyDescent="0.25">
      <c r="A5" t="s">
        <v>199</v>
      </c>
    </row>
    <row r="6" spans="1:11" x14ac:dyDescent="0.25">
      <c r="A6" t="s">
        <v>196</v>
      </c>
    </row>
    <row r="7" spans="1:11" x14ac:dyDescent="0.25">
      <c r="A7" t="s">
        <v>200</v>
      </c>
    </row>
    <row r="8" spans="1:11" x14ac:dyDescent="0.25">
      <c r="A8" t="s">
        <v>201</v>
      </c>
    </row>
    <row r="9" spans="1:11" x14ac:dyDescent="0.25">
      <c r="A9" t="s">
        <v>196</v>
      </c>
    </row>
    <row r="11" spans="1:11" x14ac:dyDescent="0.25">
      <c r="A11" t="s">
        <v>196</v>
      </c>
    </row>
    <row r="12" spans="1:11" x14ac:dyDescent="0.25">
      <c r="A12" t="s">
        <v>202</v>
      </c>
    </row>
    <row r="13" spans="1:11" x14ac:dyDescent="0.25">
      <c r="A13" t="s">
        <v>196</v>
      </c>
    </row>
    <row r="14" spans="1:11" x14ac:dyDescent="0.25">
      <c r="A14" t="s">
        <v>198</v>
      </c>
    </row>
    <row r="15" spans="1:11" x14ac:dyDescent="0.25">
      <c r="A15" t="s">
        <v>199</v>
      </c>
    </row>
    <row r="16" spans="1:11" x14ac:dyDescent="0.25">
      <c r="A16" t="s">
        <v>196</v>
      </c>
    </row>
    <row r="17" spans="1:1" x14ac:dyDescent="0.25">
      <c r="A17" t="s">
        <v>203</v>
      </c>
    </row>
    <row r="18" spans="1:1" x14ac:dyDescent="0.25">
      <c r="A18" t="s">
        <v>204</v>
      </c>
    </row>
    <row r="19" spans="1:1" x14ac:dyDescent="0.25">
      <c r="A19" t="s">
        <v>196</v>
      </c>
    </row>
    <row r="21" spans="1:1" x14ac:dyDescent="0.25">
      <c r="A21" t="s">
        <v>196</v>
      </c>
    </row>
    <row r="22" spans="1:1" x14ac:dyDescent="0.25">
      <c r="A22" t="s">
        <v>205</v>
      </c>
    </row>
    <row r="23" spans="1:1" x14ac:dyDescent="0.25">
      <c r="A23" t="s">
        <v>196</v>
      </c>
    </row>
    <row r="24" spans="1:1" x14ac:dyDescent="0.25">
      <c r="A24" t="s">
        <v>198</v>
      </c>
    </row>
    <row r="25" spans="1:1" x14ac:dyDescent="0.25">
      <c r="A25" t="s">
        <v>199</v>
      </c>
    </row>
    <row r="26" spans="1:1" x14ac:dyDescent="0.25">
      <c r="A26" t="s">
        <v>196</v>
      </c>
    </row>
    <row r="27" spans="1:1" x14ac:dyDescent="0.25">
      <c r="A27" t="s">
        <v>206</v>
      </c>
    </row>
    <row r="28" spans="1:1" x14ac:dyDescent="0.25">
      <c r="A28" t="s">
        <v>196</v>
      </c>
    </row>
    <row r="30" spans="1:1" x14ac:dyDescent="0.25">
      <c r="A30" t="s">
        <v>196</v>
      </c>
    </row>
    <row r="31" spans="1:1" x14ac:dyDescent="0.25">
      <c r="A31" t="s">
        <v>207</v>
      </c>
    </row>
    <row r="32" spans="1:1" x14ac:dyDescent="0.25">
      <c r="A32" t="s">
        <v>196</v>
      </c>
    </row>
    <row r="33" spans="1:1" x14ac:dyDescent="0.25">
      <c r="A33" t="s">
        <v>198</v>
      </c>
    </row>
    <row r="34" spans="1:1" x14ac:dyDescent="0.25">
      <c r="A34" t="s">
        <v>199</v>
      </c>
    </row>
    <row r="35" spans="1:1" x14ac:dyDescent="0.25">
      <c r="A35" t="s">
        <v>196</v>
      </c>
    </row>
    <row r="36" spans="1:1" x14ac:dyDescent="0.25">
      <c r="A36" t="s">
        <v>208</v>
      </c>
    </row>
    <row r="37" spans="1:1" x14ac:dyDescent="0.25">
      <c r="A37" t="s">
        <v>196</v>
      </c>
    </row>
    <row r="39" spans="1:1" x14ac:dyDescent="0.25">
      <c r="A39" t="s">
        <v>196</v>
      </c>
    </row>
    <row r="40" spans="1:1" x14ac:dyDescent="0.25">
      <c r="A40" t="s">
        <v>209</v>
      </c>
    </row>
    <row r="41" spans="1:1" x14ac:dyDescent="0.25">
      <c r="A41" t="s">
        <v>196</v>
      </c>
    </row>
    <row r="42" spans="1:1" x14ac:dyDescent="0.25">
      <c r="A42" t="s">
        <v>198</v>
      </c>
    </row>
    <row r="43" spans="1:1" x14ac:dyDescent="0.25">
      <c r="A43" t="s">
        <v>199</v>
      </c>
    </row>
    <row r="44" spans="1:1" x14ac:dyDescent="0.25">
      <c r="A44" t="s">
        <v>196</v>
      </c>
    </row>
    <row r="45" spans="1:1" x14ac:dyDescent="0.25">
      <c r="A45" t="s">
        <v>210</v>
      </c>
    </row>
    <row r="46" spans="1:1" x14ac:dyDescent="0.25">
      <c r="A46" t="s">
        <v>196</v>
      </c>
    </row>
    <row r="48" spans="1:1" x14ac:dyDescent="0.25">
      <c r="A48" t="s">
        <v>196</v>
      </c>
    </row>
    <row r="49" spans="1:1" x14ac:dyDescent="0.25">
      <c r="A49" t="s">
        <v>211</v>
      </c>
    </row>
    <row r="50" spans="1:1" x14ac:dyDescent="0.25">
      <c r="A50" t="s">
        <v>196</v>
      </c>
    </row>
    <row r="51" spans="1:1" x14ac:dyDescent="0.25">
      <c r="A51" t="s">
        <v>198</v>
      </c>
    </row>
    <row r="52" spans="1:1" x14ac:dyDescent="0.25">
      <c r="A52" t="s">
        <v>199</v>
      </c>
    </row>
    <row r="53" spans="1:1" x14ac:dyDescent="0.25">
      <c r="A53" t="s">
        <v>196</v>
      </c>
    </row>
    <row r="54" spans="1:1" x14ac:dyDescent="0.25">
      <c r="A54" t="s">
        <v>212</v>
      </c>
    </row>
    <row r="55" spans="1:1" x14ac:dyDescent="0.25">
      <c r="A55" t="s">
        <v>213</v>
      </c>
    </row>
    <row r="56" spans="1:1" x14ac:dyDescent="0.25">
      <c r="A56" t="s">
        <v>196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BD2F5-373E-40A4-AAFE-E105250B6F6A}">
  <dimension ref="A1:AM15"/>
  <sheetViews>
    <sheetView workbookViewId="0">
      <selection activeCell="E16" sqref="E16"/>
    </sheetView>
  </sheetViews>
  <sheetFormatPr defaultRowHeight="15" x14ac:dyDescent="0.25"/>
  <cols>
    <col min="2" max="2" width="7.42578125" bestFit="1" customWidth="1"/>
    <col min="3" max="3" width="33" bestFit="1" customWidth="1"/>
    <col min="4" max="4" width="14.5703125" bestFit="1" customWidth="1"/>
    <col min="5" max="5" width="8.28515625" bestFit="1" customWidth="1"/>
    <col min="6" max="6" width="12" bestFit="1" customWidth="1"/>
    <col min="7" max="7" width="16.28515625" bestFit="1" customWidth="1"/>
    <col min="8" max="8" width="13.42578125" bestFit="1" customWidth="1"/>
    <col min="9" max="9" width="9.7109375" bestFit="1" customWidth="1"/>
    <col min="10" max="10" width="30.42578125" bestFit="1" customWidth="1"/>
    <col min="11" max="11" width="10.140625" bestFit="1" customWidth="1"/>
    <col min="12" max="12" width="12.7109375" bestFit="1" customWidth="1"/>
    <col min="13" max="14" width="12" bestFit="1" customWidth="1"/>
    <col min="15" max="15" width="10.140625" bestFit="1" customWidth="1"/>
    <col min="16" max="16" width="17" bestFit="1" customWidth="1"/>
    <col min="17" max="17" width="5.85546875" bestFit="1" customWidth="1"/>
    <col min="18" max="19" width="10" bestFit="1" customWidth="1"/>
    <col min="20" max="20" width="11.7109375" bestFit="1" customWidth="1"/>
    <col min="21" max="21" width="9.42578125" bestFit="1" customWidth="1"/>
    <col min="22" max="23" width="8.7109375" bestFit="1" customWidth="1"/>
    <col min="25" max="25" width="10" bestFit="1" customWidth="1"/>
    <col min="26" max="26" width="11.7109375" bestFit="1" customWidth="1"/>
    <col min="27" max="28" width="6.140625" bestFit="1" customWidth="1"/>
    <col min="29" max="29" width="8.7109375" bestFit="1" customWidth="1"/>
    <col min="30" max="30" width="5.42578125" bestFit="1" customWidth="1"/>
    <col min="31" max="31" width="8" bestFit="1" customWidth="1"/>
    <col min="32" max="32" width="10" bestFit="1" customWidth="1"/>
    <col min="33" max="33" width="17" bestFit="1" customWidth="1"/>
    <col min="34" max="34" width="30.5703125" bestFit="1" customWidth="1"/>
    <col min="35" max="35" width="7.42578125" bestFit="1" customWidth="1"/>
    <col min="36" max="36" width="10.140625" bestFit="1" customWidth="1"/>
    <col min="37" max="37" width="14.7109375" bestFit="1" customWidth="1"/>
    <col min="38" max="38" width="20.85546875" bestFit="1" customWidth="1"/>
    <col min="39" max="39" width="20.140625" bestFit="1" customWidth="1"/>
    <col min="40" max="40" width="23.85546875" bestFit="1" customWidth="1"/>
    <col min="41" max="42" width="22.42578125" bestFit="1" customWidth="1"/>
    <col min="43" max="43" width="13.5703125" bestFit="1" customWidth="1"/>
    <col min="44" max="44" width="10.42578125" bestFit="1" customWidth="1"/>
    <col min="45" max="45" width="8.85546875" bestFit="1" customWidth="1"/>
    <col min="46" max="46" width="16.7109375" bestFit="1" customWidth="1"/>
    <col min="47" max="47" width="14.28515625" bestFit="1" customWidth="1"/>
    <col min="48" max="48" width="31.42578125" bestFit="1" customWidth="1"/>
    <col min="49" max="49" width="24.140625" bestFit="1" customWidth="1"/>
    <col min="50" max="50" width="22" bestFit="1" customWidth="1"/>
    <col min="51" max="51" width="15" bestFit="1" customWidth="1"/>
    <col min="52" max="53" width="19.85546875" bestFit="1" customWidth="1"/>
    <col min="54" max="55" width="24.28515625" bestFit="1" customWidth="1"/>
    <col min="56" max="57" width="19.85546875" bestFit="1" customWidth="1"/>
    <col min="58" max="59" width="24.28515625" bestFit="1" customWidth="1"/>
    <col min="60" max="60" width="16.140625" bestFit="1" customWidth="1"/>
    <col min="61" max="61" width="11.7109375" bestFit="1" customWidth="1"/>
    <col min="62" max="62" width="11.5703125" bestFit="1" customWidth="1"/>
    <col min="63" max="63" width="23.140625" bestFit="1" customWidth="1"/>
    <col min="64" max="64" width="15" bestFit="1" customWidth="1"/>
    <col min="65" max="65" width="13.42578125" bestFit="1" customWidth="1"/>
    <col min="66" max="66" width="18.5703125" bestFit="1" customWidth="1"/>
    <col min="67" max="67" width="15.85546875" bestFit="1" customWidth="1"/>
    <col min="68" max="68" width="15.7109375" bestFit="1" customWidth="1"/>
    <col min="69" max="69" width="10.42578125" bestFit="1" customWidth="1"/>
    <col min="70" max="70" width="10.7109375" bestFit="1" customWidth="1"/>
    <col min="71" max="71" width="16.140625" bestFit="1" customWidth="1"/>
    <col min="72" max="72" width="23.85546875" bestFit="1" customWidth="1"/>
    <col min="73" max="74" width="15.5703125" bestFit="1" customWidth="1"/>
    <col min="75" max="75" width="13.28515625" bestFit="1" customWidth="1"/>
    <col min="76" max="76" width="8.7109375" bestFit="1" customWidth="1"/>
    <col min="77" max="77" width="13.28515625" bestFit="1" customWidth="1"/>
    <col min="78" max="78" width="18.85546875" bestFit="1" customWidth="1"/>
    <col min="79" max="79" width="11.28515625" bestFit="1" customWidth="1"/>
    <col min="80" max="80" width="12.140625" bestFit="1" customWidth="1"/>
    <col min="81" max="81" width="10" bestFit="1" customWidth="1"/>
    <col min="82" max="82" width="15" bestFit="1" customWidth="1"/>
    <col min="83" max="83" width="7.85546875" bestFit="1" customWidth="1"/>
    <col min="84" max="84" width="11.7109375" bestFit="1" customWidth="1"/>
    <col min="85" max="85" width="10" bestFit="1" customWidth="1"/>
    <col min="86" max="86" width="5.7109375" bestFit="1" customWidth="1"/>
    <col min="87" max="87" width="16.5703125" bestFit="1" customWidth="1"/>
    <col min="88" max="88" width="17" bestFit="1" customWidth="1"/>
    <col min="89" max="89" width="22.5703125" bestFit="1" customWidth="1"/>
    <col min="90" max="90" width="17.42578125" bestFit="1" customWidth="1"/>
    <col min="91" max="91" width="13.5703125" bestFit="1" customWidth="1"/>
    <col min="92" max="93" width="10" bestFit="1" customWidth="1"/>
    <col min="94" max="94" width="25" bestFit="1" customWidth="1"/>
    <col min="95" max="95" width="27.7109375" bestFit="1" customWidth="1"/>
    <col min="96" max="96" width="27.42578125" bestFit="1" customWidth="1"/>
    <col min="97" max="97" width="13.5703125" bestFit="1" customWidth="1"/>
    <col min="98" max="98" width="11.28515625" bestFit="1" customWidth="1"/>
    <col min="99" max="99" width="15" bestFit="1" customWidth="1"/>
    <col min="100" max="100" width="12" bestFit="1" customWidth="1"/>
    <col min="101" max="101" width="11.85546875" bestFit="1" customWidth="1"/>
    <col min="102" max="103" width="15.7109375" bestFit="1" customWidth="1"/>
    <col min="104" max="104" width="13.28515625" bestFit="1" customWidth="1"/>
    <col min="105" max="105" width="15.7109375" bestFit="1" customWidth="1"/>
    <col min="106" max="106" width="17.7109375" bestFit="1" customWidth="1"/>
    <col min="107" max="107" width="22" bestFit="1" customWidth="1"/>
  </cols>
  <sheetData>
    <row r="1" spans="1:39" x14ac:dyDescent="0.25">
      <c r="A1" t="s">
        <v>170</v>
      </c>
      <c r="B1" t="s">
        <v>171</v>
      </c>
      <c r="C1" t="s">
        <v>170</v>
      </c>
      <c r="D1" t="s">
        <v>171</v>
      </c>
      <c r="E1" t="s">
        <v>171</v>
      </c>
      <c r="F1" t="s">
        <v>171</v>
      </c>
      <c r="G1" t="s">
        <v>171</v>
      </c>
      <c r="H1" t="s">
        <v>171</v>
      </c>
      <c r="I1" t="s">
        <v>171</v>
      </c>
      <c r="J1" t="s">
        <v>105</v>
      </c>
      <c r="K1" t="s">
        <v>105</v>
      </c>
      <c r="L1" t="s">
        <v>172</v>
      </c>
      <c r="M1" t="s">
        <v>172</v>
      </c>
      <c r="N1" t="s">
        <v>172</v>
      </c>
      <c r="O1" t="s">
        <v>172</v>
      </c>
      <c r="P1" t="s">
        <v>172</v>
      </c>
      <c r="Q1" t="s">
        <v>172</v>
      </c>
      <c r="R1" t="s">
        <v>172</v>
      </c>
      <c r="S1" t="s">
        <v>172</v>
      </c>
      <c r="T1" t="s">
        <v>172</v>
      </c>
      <c r="U1" t="s">
        <v>172</v>
      </c>
      <c r="V1" t="s">
        <v>172</v>
      </c>
      <c r="W1" t="s">
        <v>172</v>
      </c>
      <c r="X1" t="s">
        <v>172</v>
      </c>
      <c r="Y1" t="s">
        <v>172</v>
      </c>
      <c r="Z1" t="s">
        <v>171</v>
      </c>
      <c r="AA1" t="s">
        <v>171</v>
      </c>
      <c r="AB1" t="s">
        <v>171</v>
      </c>
      <c r="AC1" t="s">
        <v>171</v>
      </c>
      <c r="AD1" t="s">
        <v>171</v>
      </c>
      <c r="AE1" t="s">
        <v>171</v>
      </c>
      <c r="AF1" t="s">
        <v>171</v>
      </c>
      <c r="AG1" t="s">
        <v>105</v>
      </c>
      <c r="AH1" t="s">
        <v>105</v>
      </c>
      <c r="AI1" t="s">
        <v>172</v>
      </c>
      <c r="AJ1" t="s">
        <v>172</v>
      </c>
      <c r="AK1" t="s">
        <v>172</v>
      </c>
      <c r="AL1" t="s">
        <v>172</v>
      </c>
      <c r="AM1" t="s">
        <v>172</v>
      </c>
    </row>
    <row r="2" spans="1:39" x14ac:dyDescent="0.25">
      <c r="A2" t="s">
        <v>106</v>
      </c>
      <c r="B2" t="s">
        <v>107</v>
      </c>
      <c r="C2" t="s">
        <v>108</v>
      </c>
      <c r="D2" t="s">
        <v>109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122</v>
      </c>
      <c r="R2" t="s">
        <v>123</v>
      </c>
      <c r="S2" t="s">
        <v>124</v>
      </c>
      <c r="T2" t="s">
        <v>125</v>
      </c>
      <c r="U2" t="s">
        <v>126</v>
      </c>
      <c r="V2" t="s">
        <v>127</v>
      </c>
      <c r="W2" t="s">
        <v>128</v>
      </c>
      <c r="X2" t="s">
        <v>129</v>
      </c>
      <c r="Y2" t="s">
        <v>130</v>
      </c>
      <c r="Z2" t="s">
        <v>173</v>
      </c>
      <c r="AA2" t="s">
        <v>131</v>
      </c>
      <c r="AB2" t="s">
        <v>132</v>
      </c>
      <c r="AC2" t="s">
        <v>133</v>
      </c>
      <c r="AD2" t="s">
        <v>134</v>
      </c>
      <c r="AE2" t="s">
        <v>135</v>
      </c>
      <c r="AF2" t="s">
        <v>174</v>
      </c>
      <c r="AG2" t="s">
        <v>136</v>
      </c>
      <c r="AH2" t="s">
        <v>137</v>
      </c>
      <c r="AI2" t="s">
        <v>138</v>
      </c>
      <c r="AJ2" t="s">
        <v>175</v>
      </c>
      <c r="AK2" t="s">
        <v>176</v>
      </c>
      <c r="AL2" t="s">
        <v>177</v>
      </c>
      <c r="AM2" t="s">
        <v>178</v>
      </c>
    </row>
    <row r="3" spans="1:39" x14ac:dyDescent="0.25">
      <c r="A3" t="s">
        <v>139</v>
      </c>
      <c r="B3" t="s">
        <v>140</v>
      </c>
      <c r="C3" t="s">
        <v>141</v>
      </c>
      <c r="D3" t="s">
        <v>141</v>
      </c>
      <c r="E3" t="s">
        <v>141</v>
      </c>
      <c r="F3" t="s">
        <v>142</v>
      </c>
      <c r="G3" t="s">
        <v>142</v>
      </c>
      <c r="H3" t="s">
        <v>142</v>
      </c>
      <c r="I3" t="s">
        <v>142</v>
      </c>
      <c r="J3" t="s">
        <v>141</v>
      </c>
      <c r="K3" t="s">
        <v>141</v>
      </c>
      <c r="L3" t="s">
        <v>141</v>
      </c>
      <c r="M3" t="s">
        <v>142</v>
      </c>
      <c r="N3" t="s">
        <v>142</v>
      </c>
      <c r="O3" t="s">
        <v>142</v>
      </c>
      <c r="P3" t="s">
        <v>142</v>
      </c>
      <c r="Q3" t="s">
        <v>140</v>
      </c>
      <c r="R3" t="s">
        <v>142</v>
      </c>
      <c r="S3" t="s">
        <v>142</v>
      </c>
      <c r="T3" t="s">
        <v>142</v>
      </c>
      <c r="U3" t="s">
        <v>141</v>
      </c>
      <c r="V3" t="s">
        <v>142</v>
      </c>
      <c r="W3" t="s">
        <v>141</v>
      </c>
      <c r="X3" t="s">
        <v>141</v>
      </c>
      <c r="Y3" t="s">
        <v>140</v>
      </c>
      <c r="Z3" t="s">
        <v>179</v>
      </c>
      <c r="AA3" t="s">
        <v>142</v>
      </c>
      <c r="AB3" t="s">
        <v>142</v>
      </c>
      <c r="AC3" t="s">
        <v>142</v>
      </c>
      <c r="AD3" t="s">
        <v>142</v>
      </c>
      <c r="AE3" t="s">
        <v>140</v>
      </c>
      <c r="AF3" t="s">
        <v>140</v>
      </c>
      <c r="AG3" t="s">
        <v>142</v>
      </c>
      <c r="AH3" t="s">
        <v>141</v>
      </c>
      <c r="AI3" t="s">
        <v>141</v>
      </c>
      <c r="AJ3" t="s">
        <v>140</v>
      </c>
      <c r="AK3" t="s">
        <v>141</v>
      </c>
      <c r="AL3" t="s">
        <v>179</v>
      </c>
      <c r="AM3" t="s">
        <v>179</v>
      </c>
    </row>
    <row r="4" spans="1:39" x14ac:dyDescent="0.25">
      <c r="A4" s="10">
        <v>1256451</v>
      </c>
      <c r="B4" s="10">
        <v>12</v>
      </c>
      <c r="C4" s="10" t="s">
        <v>189</v>
      </c>
      <c r="D4" s="10" t="s">
        <v>190</v>
      </c>
      <c r="E4" s="10" t="s">
        <v>183</v>
      </c>
      <c r="F4" s="10">
        <v>0.6</v>
      </c>
      <c r="G4" s="10">
        <v>688661.52606599999</v>
      </c>
      <c r="H4" s="10">
        <v>7671744.2282520002</v>
      </c>
      <c r="I4" s="10">
        <v>148.1</v>
      </c>
      <c r="J4" s="10" t="s">
        <v>191</v>
      </c>
      <c r="K4" s="10" t="s">
        <v>192</v>
      </c>
      <c r="L4" s="10" t="s">
        <v>180</v>
      </c>
      <c r="M4" s="10">
        <v>147.5</v>
      </c>
      <c r="N4" s="10">
        <v>147.4</v>
      </c>
      <c r="O4" s="10">
        <v>0.6</v>
      </c>
      <c r="P4">
        <v>1.2</v>
      </c>
      <c r="Q4" s="10">
        <v>2</v>
      </c>
      <c r="R4">
        <v>0</v>
      </c>
      <c r="S4" s="10">
        <v>26.780950000000001</v>
      </c>
      <c r="T4" s="10">
        <v>0.37340000000000001</v>
      </c>
      <c r="U4" s="10" t="s">
        <v>193</v>
      </c>
      <c r="V4" s="10">
        <v>0.6</v>
      </c>
      <c r="W4" s="10" t="s">
        <v>193</v>
      </c>
      <c r="X4" s="10" t="s">
        <v>194</v>
      </c>
      <c r="Y4">
        <v>1</v>
      </c>
      <c r="AA4" s="10">
        <v>148.1</v>
      </c>
      <c r="AB4" s="10">
        <v>148.1</v>
      </c>
      <c r="AC4" s="10">
        <v>148.1</v>
      </c>
      <c r="AD4" s="10">
        <v>148.1</v>
      </c>
      <c r="AE4" s="10">
        <v>0</v>
      </c>
      <c r="AF4">
        <v>7</v>
      </c>
      <c r="AG4" s="10">
        <v>-9.9000000000000002E+29</v>
      </c>
      <c r="AI4" s="10" t="s">
        <v>181</v>
      </c>
      <c r="AJ4">
        <v>-1</v>
      </c>
      <c r="AK4" t="s">
        <v>182</v>
      </c>
    </row>
    <row r="5" spans="1:39" x14ac:dyDescent="0.25">
      <c r="A5" s="10">
        <v>1256451</v>
      </c>
      <c r="B5" s="10">
        <v>13</v>
      </c>
      <c r="C5" s="10" t="s">
        <v>189</v>
      </c>
      <c r="D5" s="10" t="s">
        <v>195</v>
      </c>
      <c r="E5" s="10" t="s">
        <v>184</v>
      </c>
      <c r="F5" s="10">
        <v>0</v>
      </c>
      <c r="G5" s="10">
        <v>688635.50224399997</v>
      </c>
      <c r="H5" s="10">
        <v>7671737.905278</v>
      </c>
      <c r="I5" s="10">
        <v>148</v>
      </c>
      <c r="J5" s="10" t="s">
        <v>191</v>
      </c>
      <c r="K5" s="10" t="s">
        <v>192</v>
      </c>
      <c r="L5" s="10"/>
      <c r="M5" s="10"/>
      <c r="N5" s="10"/>
      <c r="O5" s="10"/>
      <c r="Q5" s="10"/>
      <c r="S5" s="10"/>
      <c r="T5" s="10"/>
      <c r="U5" s="10"/>
      <c r="V5" s="10"/>
      <c r="W5" s="10"/>
      <c r="X5" s="10"/>
      <c r="AA5" s="10">
        <v>148</v>
      </c>
      <c r="AB5" s="10">
        <v>148</v>
      </c>
      <c r="AC5" s="10">
        <v>148</v>
      </c>
      <c r="AD5" s="10">
        <v>148</v>
      </c>
      <c r="AE5" s="10">
        <v>0</v>
      </c>
      <c r="AF5">
        <v>7</v>
      </c>
      <c r="AG5" s="10">
        <v>-9.9000000000000002E+29</v>
      </c>
      <c r="AI5" s="10"/>
    </row>
    <row r="6" spans="1:39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Q6" s="10"/>
      <c r="S6" s="10"/>
      <c r="T6" s="10"/>
      <c r="U6" s="10"/>
      <c r="V6" s="10"/>
      <c r="W6" s="10"/>
      <c r="X6" s="10"/>
      <c r="AA6" s="10"/>
      <c r="AB6" s="10"/>
      <c r="AC6" s="10"/>
      <c r="AD6" s="10"/>
      <c r="AE6" s="10"/>
      <c r="AG6" s="10"/>
      <c r="AI6" s="10"/>
    </row>
    <row r="7" spans="1:39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Q7" s="10"/>
      <c r="S7" s="10"/>
      <c r="T7" s="10"/>
      <c r="U7" s="10"/>
      <c r="V7" s="10"/>
      <c r="W7" s="10"/>
      <c r="X7" s="10"/>
      <c r="AA7" s="10"/>
      <c r="AB7" s="10"/>
      <c r="AC7" s="10"/>
      <c r="AD7" s="10"/>
      <c r="AE7" s="10"/>
      <c r="AG7" s="10"/>
      <c r="AI7" s="10"/>
    </row>
    <row r="8" spans="1:39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Q8" s="10"/>
      <c r="S8" s="10"/>
      <c r="T8" s="10"/>
      <c r="U8" s="10"/>
      <c r="V8" s="10"/>
      <c r="W8" s="10"/>
      <c r="X8" s="10"/>
      <c r="AA8" s="10"/>
      <c r="AB8" s="10"/>
      <c r="AC8" s="10"/>
      <c r="AD8" s="10"/>
      <c r="AE8" s="10"/>
      <c r="AG8" s="10"/>
      <c r="AI8" s="10"/>
    </row>
    <row r="9" spans="1:39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Q9" s="10"/>
      <c r="S9" s="10"/>
      <c r="T9" s="10"/>
      <c r="U9" s="10"/>
      <c r="V9" s="10"/>
      <c r="W9" s="10"/>
      <c r="X9" s="10"/>
      <c r="AA9" s="10"/>
      <c r="AB9" s="10"/>
      <c r="AC9" s="10"/>
      <c r="AD9" s="10"/>
      <c r="AE9" s="10"/>
      <c r="AG9" s="10"/>
      <c r="AI9" s="10"/>
    </row>
    <row r="10" spans="1:39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Q10" s="10"/>
      <c r="S10" s="10"/>
      <c r="T10" s="10"/>
      <c r="U10" s="10"/>
      <c r="V10" s="10"/>
      <c r="W10" s="10"/>
      <c r="X10" s="10"/>
      <c r="AA10" s="10"/>
      <c r="AB10" s="10"/>
      <c r="AC10" s="10"/>
      <c r="AD10" s="10"/>
      <c r="AE10" s="10"/>
      <c r="AG10" s="10"/>
      <c r="AI10" s="10"/>
    </row>
    <row r="11" spans="1:39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Q11" s="10"/>
      <c r="S11" s="10"/>
      <c r="T11" s="10"/>
      <c r="U11" s="10"/>
      <c r="V11" s="10"/>
      <c r="W11" s="10"/>
      <c r="X11" s="10"/>
      <c r="AA11" s="10"/>
      <c r="AB11" s="10"/>
      <c r="AC11" s="10"/>
      <c r="AD11" s="10"/>
      <c r="AE11" s="10"/>
      <c r="AG11" s="10"/>
      <c r="AI11" s="10"/>
    </row>
    <row r="12" spans="1:39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Q12" s="10"/>
      <c r="S12" s="10"/>
      <c r="T12" s="10"/>
      <c r="U12" s="10"/>
      <c r="V12" s="10"/>
      <c r="W12" s="10"/>
      <c r="X12" s="10"/>
      <c r="AA12" s="10"/>
      <c r="AB12" s="10"/>
      <c r="AC12" s="10"/>
      <c r="AD12" s="10"/>
      <c r="AE12" s="10"/>
      <c r="AG12" s="10"/>
      <c r="AI12" s="10"/>
    </row>
    <row r="13" spans="1:39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Q13" s="10"/>
      <c r="S13" s="10"/>
      <c r="T13" s="10"/>
      <c r="U13" s="10"/>
      <c r="V13" s="10"/>
      <c r="W13" s="10"/>
      <c r="X13" s="10"/>
      <c r="AA13" s="10"/>
      <c r="AB13" s="10"/>
      <c r="AC13" s="10"/>
      <c r="AD13" s="10"/>
      <c r="AE13" s="10"/>
      <c r="AG13" s="10"/>
      <c r="AI13" s="10"/>
    </row>
    <row r="14" spans="1:39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Q14" s="10"/>
      <c r="S14" s="10"/>
      <c r="T14" s="10"/>
      <c r="U14" s="10"/>
      <c r="V14" s="10"/>
      <c r="W14" s="10"/>
      <c r="X14" s="10"/>
      <c r="AA14" s="10"/>
      <c r="AB14" s="10"/>
      <c r="AC14" s="10"/>
      <c r="AD14" s="10"/>
      <c r="AE14" s="10"/>
      <c r="AG14" s="10"/>
      <c r="AI14" s="10"/>
    </row>
    <row r="15" spans="1:39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Q15" s="10"/>
      <c r="S15" s="10"/>
      <c r="T15" s="10"/>
      <c r="U15" s="10"/>
      <c r="V15" s="10"/>
      <c r="W15" s="10"/>
      <c r="X15" s="10"/>
      <c r="AA15" s="10"/>
      <c r="AB15" s="10"/>
      <c r="AC15" s="10"/>
      <c r="AD15" s="10"/>
      <c r="AE15" s="10"/>
      <c r="AG15" s="10"/>
      <c r="AI15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B8B07-11EB-467D-9ACD-148AEAE81C79}">
  <dimension ref="A1:V31"/>
  <sheetViews>
    <sheetView workbookViewId="0">
      <selection activeCell="A2" sqref="A2"/>
    </sheetView>
  </sheetViews>
  <sheetFormatPr defaultRowHeight="15" x14ac:dyDescent="0.25"/>
  <cols>
    <col min="1" max="1" width="119.7109375" bestFit="1" customWidth="1"/>
  </cols>
  <sheetData>
    <row r="1" spans="1:22" x14ac:dyDescent="0.25">
      <c r="A1" t="s">
        <v>258</v>
      </c>
      <c r="B1" t="s">
        <v>257</v>
      </c>
      <c r="C1" t="s">
        <v>0</v>
      </c>
      <c r="D1" t="s">
        <v>36</v>
      </c>
      <c r="E1" t="s">
        <v>59</v>
      </c>
      <c r="F1" t="s">
        <v>60</v>
      </c>
      <c r="G1" t="s">
        <v>61</v>
      </c>
      <c r="H1" t="s">
        <v>62</v>
      </c>
      <c r="I1" t="s">
        <v>1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4</v>
      </c>
      <c r="Q1" t="s">
        <v>84</v>
      </c>
      <c r="R1" t="s">
        <v>3</v>
      </c>
      <c r="S1" t="s">
        <v>85</v>
      </c>
      <c r="T1" t="s">
        <v>86</v>
      </c>
      <c r="U1" t="s">
        <v>87</v>
      </c>
      <c r="V1" t="s">
        <v>88</v>
      </c>
    </row>
    <row r="2" spans="1:22" x14ac:dyDescent="0.25">
      <c r="A2" t="s">
        <v>259</v>
      </c>
      <c r="B2">
        <v>42</v>
      </c>
      <c r="C2" t="s">
        <v>227</v>
      </c>
      <c r="D2" t="s">
        <v>74</v>
      </c>
      <c r="E2" t="s">
        <v>75</v>
      </c>
      <c r="F2" t="s">
        <v>76</v>
      </c>
      <c r="G2">
        <v>83.395041538819498</v>
      </c>
      <c r="H2">
        <v>2.4E-2</v>
      </c>
      <c r="I2">
        <v>398.32244873046801</v>
      </c>
      <c r="J2">
        <v>395.86798095703102</v>
      </c>
      <c r="K2">
        <v>0</v>
      </c>
      <c r="L2">
        <v>0</v>
      </c>
      <c r="O2">
        <v>0</v>
      </c>
      <c r="P2">
        <v>1.5</v>
      </c>
      <c r="Q2">
        <v>0</v>
      </c>
      <c r="R2">
        <v>5</v>
      </c>
      <c r="S2">
        <v>0</v>
      </c>
      <c r="T2">
        <v>1</v>
      </c>
      <c r="U2">
        <v>0.5</v>
      </c>
      <c r="V2">
        <v>1</v>
      </c>
    </row>
    <row r="3" spans="1:22" x14ac:dyDescent="0.25">
      <c r="A3" t="s">
        <v>260</v>
      </c>
      <c r="B3">
        <v>43</v>
      </c>
      <c r="C3" t="s">
        <v>228</v>
      </c>
      <c r="D3" t="s">
        <v>74</v>
      </c>
      <c r="E3" t="s">
        <v>75</v>
      </c>
      <c r="F3" t="s">
        <v>76</v>
      </c>
      <c r="G3">
        <v>52.287214436794699</v>
      </c>
      <c r="H3">
        <v>2.4E-2</v>
      </c>
      <c r="I3">
        <v>381.20260620117102</v>
      </c>
      <c r="J3">
        <v>379.03842163085898</v>
      </c>
      <c r="K3">
        <v>0</v>
      </c>
      <c r="L3">
        <v>0</v>
      </c>
      <c r="O3">
        <v>0</v>
      </c>
      <c r="P3">
        <v>1.5</v>
      </c>
      <c r="Q3">
        <v>0</v>
      </c>
      <c r="R3">
        <v>1</v>
      </c>
      <c r="S3">
        <v>0</v>
      </c>
      <c r="T3">
        <v>1</v>
      </c>
      <c r="U3">
        <v>0.5</v>
      </c>
      <c r="V3">
        <v>1</v>
      </c>
    </row>
    <row r="4" spans="1:22" x14ac:dyDescent="0.25">
      <c r="A4" t="s">
        <v>261</v>
      </c>
      <c r="B4">
        <v>44</v>
      </c>
      <c r="C4" t="s">
        <v>229</v>
      </c>
      <c r="D4" t="s">
        <v>74</v>
      </c>
      <c r="E4" t="s">
        <v>75</v>
      </c>
      <c r="F4" t="s">
        <v>76</v>
      </c>
      <c r="G4">
        <v>60.752659093188299</v>
      </c>
      <c r="H4">
        <v>2.4E-2</v>
      </c>
      <c r="I4">
        <v>375.83660888671801</v>
      </c>
      <c r="J4">
        <v>379.22119140625</v>
      </c>
      <c r="K4">
        <v>0</v>
      </c>
      <c r="L4">
        <v>0</v>
      </c>
      <c r="O4">
        <v>0</v>
      </c>
      <c r="P4">
        <v>1.5</v>
      </c>
      <c r="Q4">
        <v>0</v>
      </c>
      <c r="R4">
        <v>2</v>
      </c>
      <c r="S4">
        <v>0</v>
      </c>
      <c r="T4">
        <v>1</v>
      </c>
      <c r="U4">
        <v>0.5</v>
      </c>
      <c r="V4">
        <v>1</v>
      </c>
    </row>
    <row r="5" spans="1:22" x14ac:dyDescent="0.25">
      <c r="A5" t="s">
        <v>262</v>
      </c>
      <c r="B5">
        <v>45</v>
      </c>
      <c r="C5" t="s">
        <v>230</v>
      </c>
      <c r="D5" t="s">
        <v>74</v>
      </c>
      <c r="E5" t="s">
        <v>75</v>
      </c>
      <c r="F5" t="s">
        <v>76</v>
      </c>
      <c r="G5">
        <v>68.939518643807503</v>
      </c>
      <c r="H5">
        <v>2.4E-2</v>
      </c>
      <c r="I5">
        <v>364.83699999999999</v>
      </c>
      <c r="J5">
        <v>364.75</v>
      </c>
      <c r="K5">
        <v>0</v>
      </c>
      <c r="L5">
        <v>0</v>
      </c>
      <c r="O5">
        <v>0</v>
      </c>
      <c r="P5">
        <v>1.5</v>
      </c>
      <c r="Q5">
        <v>0</v>
      </c>
      <c r="R5">
        <v>1</v>
      </c>
      <c r="S5">
        <v>0</v>
      </c>
      <c r="T5">
        <v>1</v>
      </c>
      <c r="U5">
        <v>0.5</v>
      </c>
      <c r="V5">
        <v>1</v>
      </c>
    </row>
    <row r="6" spans="1:22" x14ac:dyDescent="0.25">
      <c r="A6" t="s">
        <v>263</v>
      </c>
      <c r="B6">
        <v>46</v>
      </c>
      <c r="C6" t="s">
        <v>231</v>
      </c>
      <c r="D6" t="s">
        <v>74</v>
      </c>
      <c r="E6" t="s">
        <v>75</v>
      </c>
      <c r="F6" t="s">
        <v>76</v>
      </c>
      <c r="G6">
        <v>40.977953460347202</v>
      </c>
      <c r="H6">
        <v>2.4E-2</v>
      </c>
      <c r="I6">
        <v>363.65560913085898</v>
      </c>
      <c r="J6">
        <v>363.08898925781199</v>
      </c>
      <c r="K6">
        <v>0</v>
      </c>
      <c r="L6">
        <v>0</v>
      </c>
      <c r="O6">
        <v>0</v>
      </c>
      <c r="P6">
        <v>1.5</v>
      </c>
      <c r="Q6">
        <v>0</v>
      </c>
      <c r="R6">
        <v>1</v>
      </c>
      <c r="S6">
        <v>0</v>
      </c>
      <c r="T6">
        <v>1</v>
      </c>
      <c r="U6">
        <v>0.5</v>
      </c>
      <c r="V6">
        <v>1</v>
      </c>
    </row>
    <row r="7" spans="1:22" x14ac:dyDescent="0.25">
      <c r="A7" t="s">
        <v>264</v>
      </c>
      <c r="B7">
        <v>47</v>
      </c>
      <c r="C7" t="s">
        <v>232</v>
      </c>
      <c r="D7" t="s">
        <v>74</v>
      </c>
      <c r="E7" t="s">
        <v>75</v>
      </c>
      <c r="F7" t="s">
        <v>76</v>
      </c>
      <c r="G7">
        <v>40.850903004621301</v>
      </c>
      <c r="H7">
        <v>2.4E-2</v>
      </c>
      <c r="I7">
        <v>353.18801879882801</v>
      </c>
      <c r="J7">
        <v>352.41442871093699</v>
      </c>
      <c r="K7">
        <v>0</v>
      </c>
      <c r="L7">
        <v>0</v>
      </c>
      <c r="O7">
        <v>0</v>
      </c>
      <c r="P7">
        <v>1.5</v>
      </c>
      <c r="Q7">
        <v>0</v>
      </c>
      <c r="R7">
        <v>14</v>
      </c>
      <c r="S7">
        <v>0</v>
      </c>
      <c r="T7">
        <v>1</v>
      </c>
      <c r="U7">
        <v>0.5</v>
      </c>
      <c r="V7">
        <v>1</v>
      </c>
    </row>
    <row r="8" spans="1:22" x14ac:dyDescent="0.25">
      <c r="A8" t="s">
        <v>265</v>
      </c>
      <c r="B8">
        <v>48</v>
      </c>
      <c r="C8" t="s">
        <v>233</v>
      </c>
      <c r="D8" t="s">
        <v>74</v>
      </c>
      <c r="E8" t="s">
        <v>75</v>
      </c>
      <c r="F8" t="s">
        <v>76</v>
      </c>
      <c r="G8">
        <v>31.069132922971299</v>
      </c>
      <c r="H8">
        <v>2.4E-2</v>
      </c>
      <c r="I8">
        <v>352.16900634765602</v>
      </c>
      <c r="J8">
        <v>351.81900024414</v>
      </c>
      <c r="K8">
        <v>0</v>
      </c>
      <c r="L8">
        <v>0</v>
      </c>
      <c r="O8">
        <v>0</v>
      </c>
      <c r="P8">
        <v>1.2</v>
      </c>
      <c r="Q8">
        <v>0</v>
      </c>
      <c r="R8">
        <v>2</v>
      </c>
      <c r="S8">
        <v>0</v>
      </c>
      <c r="T8">
        <v>1</v>
      </c>
      <c r="U8">
        <v>0.5</v>
      </c>
      <c r="V8">
        <v>1</v>
      </c>
    </row>
    <row r="9" spans="1:22" x14ac:dyDescent="0.25">
      <c r="A9" t="s">
        <v>266</v>
      </c>
      <c r="B9">
        <v>49</v>
      </c>
      <c r="C9" t="s">
        <v>234</v>
      </c>
      <c r="D9" t="s">
        <v>74</v>
      </c>
      <c r="E9" t="s">
        <v>75</v>
      </c>
      <c r="F9" t="s">
        <v>76</v>
      </c>
      <c r="G9">
        <v>30.274923837777099</v>
      </c>
      <c r="H9">
        <v>2.4E-2</v>
      </c>
      <c r="I9">
        <v>352.682037353515</v>
      </c>
      <c r="J9">
        <v>352.22879028320301</v>
      </c>
      <c r="K9">
        <v>0</v>
      </c>
      <c r="L9">
        <v>0</v>
      </c>
      <c r="O9">
        <v>0</v>
      </c>
      <c r="P9">
        <v>1.5</v>
      </c>
      <c r="Q9">
        <v>0</v>
      </c>
      <c r="R9">
        <v>9</v>
      </c>
      <c r="S9">
        <v>0</v>
      </c>
      <c r="T9">
        <v>1</v>
      </c>
      <c r="U9">
        <v>0.5</v>
      </c>
      <c r="V9">
        <v>1</v>
      </c>
    </row>
    <row r="10" spans="1:22" x14ac:dyDescent="0.25">
      <c r="A10" t="s">
        <v>267</v>
      </c>
      <c r="B10">
        <v>50</v>
      </c>
      <c r="C10" t="s">
        <v>235</v>
      </c>
      <c r="D10" t="s">
        <v>74</v>
      </c>
      <c r="E10" t="s">
        <v>75</v>
      </c>
      <c r="F10" t="s">
        <v>76</v>
      </c>
      <c r="G10">
        <v>31.279637067029501</v>
      </c>
      <c r="H10">
        <v>2.4E-2</v>
      </c>
      <c r="I10">
        <v>354.05548095703102</v>
      </c>
      <c r="J10">
        <v>353.73797607421801</v>
      </c>
      <c r="K10">
        <v>0</v>
      </c>
      <c r="L10">
        <v>0</v>
      </c>
      <c r="O10">
        <v>0</v>
      </c>
      <c r="P10">
        <v>0.9</v>
      </c>
      <c r="Q10">
        <v>0</v>
      </c>
      <c r="R10">
        <v>3</v>
      </c>
      <c r="S10">
        <v>0</v>
      </c>
      <c r="T10">
        <v>1</v>
      </c>
      <c r="U10">
        <v>0.5</v>
      </c>
      <c r="V10">
        <v>1</v>
      </c>
    </row>
    <row r="11" spans="1:22" x14ac:dyDescent="0.25">
      <c r="A11" t="s">
        <v>268</v>
      </c>
      <c r="B11">
        <v>51</v>
      </c>
      <c r="C11" t="s">
        <v>236</v>
      </c>
      <c r="D11" t="s">
        <v>74</v>
      </c>
      <c r="E11" t="s">
        <v>75</v>
      </c>
      <c r="F11" t="s">
        <v>76</v>
      </c>
      <c r="G11">
        <v>30.7812739393773</v>
      </c>
      <c r="H11">
        <v>2.4E-2</v>
      </c>
      <c r="I11">
        <v>349.98645019531199</v>
      </c>
      <c r="J11">
        <v>349.86862182617102</v>
      </c>
      <c r="K11">
        <v>0</v>
      </c>
      <c r="L11">
        <v>0</v>
      </c>
      <c r="O11">
        <v>0</v>
      </c>
      <c r="P11">
        <v>1.2</v>
      </c>
      <c r="Q11">
        <v>0</v>
      </c>
      <c r="R11">
        <v>2</v>
      </c>
      <c r="S11">
        <v>0</v>
      </c>
      <c r="T11">
        <v>1</v>
      </c>
      <c r="U11">
        <v>0.5</v>
      </c>
      <c r="V11">
        <v>1</v>
      </c>
    </row>
    <row r="12" spans="1:22" x14ac:dyDescent="0.25">
      <c r="A12" t="s">
        <v>269</v>
      </c>
      <c r="B12">
        <v>52</v>
      </c>
      <c r="C12" t="s">
        <v>237</v>
      </c>
      <c r="D12" t="s">
        <v>74</v>
      </c>
      <c r="E12" t="s">
        <v>75</v>
      </c>
      <c r="F12" t="s">
        <v>76</v>
      </c>
      <c r="G12">
        <v>34.855464749274503</v>
      </c>
      <c r="H12">
        <v>2.4E-2</v>
      </c>
      <c r="I12">
        <v>348.30090332031199</v>
      </c>
      <c r="J12">
        <v>348.02838134765602</v>
      </c>
      <c r="K12">
        <v>0</v>
      </c>
      <c r="L12">
        <v>0</v>
      </c>
      <c r="O12">
        <v>0</v>
      </c>
      <c r="P12">
        <v>1.5</v>
      </c>
      <c r="Q12">
        <v>0</v>
      </c>
      <c r="R12">
        <v>3</v>
      </c>
      <c r="S12">
        <v>0</v>
      </c>
      <c r="T12">
        <v>1</v>
      </c>
      <c r="U12">
        <v>0.5</v>
      </c>
      <c r="V12">
        <v>1</v>
      </c>
    </row>
    <row r="13" spans="1:22" x14ac:dyDescent="0.25">
      <c r="A13" t="s">
        <v>270</v>
      </c>
      <c r="B13">
        <v>53</v>
      </c>
      <c r="C13" t="s">
        <v>238</v>
      </c>
      <c r="D13" t="s">
        <v>74</v>
      </c>
      <c r="E13" t="s">
        <v>75</v>
      </c>
      <c r="F13" t="s">
        <v>76</v>
      </c>
      <c r="G13">
        <v>33.550453918306303</v>
      </c>
      <c r="H13">
        <v>2.4E-2</v>
      </c>
      <c r="I13">
        <v>351.80154418945301</v>
      </c>
      <c r="J13">
        <v>351.21353149414</v>
      </c>
      <c r="K13">
        <v>0</v>
      </c>
      <c r="L13">
        <v>0</v>
      </c>
      <c r="O13">
        <v>0</v>
      </c>
      <c r="P13">
        <v>0.9</v>
      </c>
      <c r="Q13">
        <v>0</v>
      </c>
      <c r="R13">
        <v>2</v>
      </c>
      <c r="S13">
        <v>0</v>
      </c>
      <c r="T13">
        <v>1</v>
      </c>
      <c r="U13">
        <v>0.5</v>
      </c>
      <c r="V13">
        <v>1</v>
      </c>
    </row>
    <row r="14" spans="1:22" x14ac:dyDescent="0.25">
      <c r="A14" t="s">
        <v>271</v>
      </c>
      <c r="B14">
        <v>54</v>
      </c>
      <c r="C14" t="s">
        <v>239</v>
      </c>
      <c r="D14" t="s">
        <v>74</v>
      </c>
      <c r="E14" t="s">
        <v>75</v>
      </c>
      <c r="F14" t="s">
        <v>76</v>
      </c>
      <c r="G14">
        <v>53.4659839497576</v>
      </c>
      <c r="H14">
        <v>2.4E-2</v>
      </c>
      <c r="I14">
        <v>344.20489501953102</v>
      </c>
      <c r="J14">
        <v>343.79400634765602</v>
      </c>
      <c r="K14">
        <v>0</v>
      </c>
      <c r="L14">
        <v>0</v>
      </c>
      <c r="O14">
        <v>0</v>
      </c>
      <c r="P14">
        <v>1.5</v>
      </c>
      <c r="Q14">
        <v>0</v>
      </c>
      <c r="R14">
        <v>4</v>
      </c>
      <c r="S14">
        <v>0</v>
      </c>
      <c r="T14">
        <v>1</v>
      </c>
      <c r="U14">
        <v>0.5</v>
      </c>
      <c r="V14">
        <v>1</v>
      </c>
    </row>
    <row r="15" spans="1:22" x14ac:dyDescent="0.25">
      <c r="A15" t="s">
        <v>272</v>
      </c>
      <c r="B15">
        <v>55</v>
      </c>
      <c r="C15" t="s">
        <v>240</v>
      </c>
      <c r="D15" t="s">
        <v>74</v>
      </c>
      <c r="E15" t="s">
        <v>75</v>
      </c>
      <c r="F15" t="s">
        <v>76</v>
      </c>
      <c r="G15">
        <v>49.081396966677303</v>
      </c>
      <c r="H15">
        <v>2.4E-2</v>
      </c>
      <c r="I15">
        <v>342.71350097656199</v>
      </c>
      <c r="J15">
        <v>342.2919921875</v>
      </c>
      <c r="K15">
        <v>0</v>
      </c>
      <c r="L15">
        <v>0</v>
      </c>
      <c r="O15">
        <v>0</v>
      </c>
      <c r="P15">
        <v>1.5</v>
      </c>
      <c r="Q15">
        <v>0</v>
      </c>
      <c r="R15">
        <v>4</v>
      </c>
      <c r="S15">
        <v>0</v>
      </c>
      <c r="T15">
        <v>1</v>
      </c>
      <c r="U15">
        <v>0.5</v>
      </c>
      <c r="V15">
        <v>1</v>
      </c>
    </row>
    <row r="16" spans="1:22" x14ac:dyDescent="0.25">
      <c r="A16" t="s">
        <v>273</v>
      </c>
      <c r="B16">
        <v>56</v>
      </c>
      <c r="C16" t="s">
        <v>241</v>
      </c>
      <c r="D16" t="s">
        <v>74</v>
      </c>
      <c r="E16" t="s">
        <v>75</v>
      </c>
      <c r="F16" t="s">
        <v>76</v>
      </c>
      <c r="G16">
        <v>41.2639787861592</v>
      </c>
      <c r="H16">
        <v>2.4E-2</v>
      </c>
      <c r="I16">
        <v>344.97506713867102</v>
      </c>
      <c r="J16">
        <v>344.48989868164</v>
      </c>
      <c r="K16">
        <v>0</v>
      </c>
      <c r="L16">
        <v>0</v>
      </c>
      <c r="O16">
        <v>0</v>
      </c>
      <c r="P16">
        <v>1.5</v>
      </c>
      <c r="Q16">
        <v>0</v>
      </c>
      <c r="R16">
        <v>2</v>
      </c>
      <c r="S16">
        <v>0</v>
      </c>
      <c r="T16">
        <v>1</v>
      </c>
      <c r="U16">
        <v>0.5</v>
      </c>
      <c r="V16">
        <v>1</v>
      </c>
    </row>
    <row r="17" spans="1:22" x14ac:dyDescent="0.25">
      <c r="A17" t="s">
        <v>274</v>
      </c>
      <c r="B17">
        <v>57</v>
      </c>
      <c r="C17" t="s">
        <v>242</v>
      </c>
      <c r="D17" t="s">
        <v>74</v>
      </c>
      <c r="E17" t="s">
        <v>75</v>
      </c>
      <c r="F17" t="s">
        <v>76</v>
      </c>
      <c r="G17">
        <v>45.0922369432433</v>
      </c>
      <c r="H17">
        <v>2.4E-2</v>
      </c>
      <c r="I17">
        <v>347.94793701171801</v>
      </c>
      <c r="J17">
        <v>347.10491943359301</v>
      </c>
      <c r="K17">
        <v>0</v>
      </c>
      <c r="L17">
        <v>0</v>
      </c>
      <c r="O17">
        <v>0</v>
      </c>
      <c r="P17">
        <v>1.2</v>
      </c>
      <c r="Q17">
        <v>0</v>
      </c>
      <c r="R17">
        <v>1</v>
      </c>
      <c r="S17">
        <v>0</v>
      </c>
      <c r="T17">
        <v>1</v>
      </c>
      <c r="U17">
        <v>0.5</v>
      </c>
      <c r="V17">
        <v>1</v>
      </c>
    </row>
    <row r="18" spans="1:22" x14ac:dyDescent="0.25">
      <c r="A18" t="s">
        <v>275</v>
      </c>
      <c r="B18">
        <v>58</v>
      </c>
      <c r="C18" t="s">
        <v>243</v>
      </c>
      <c r="D18" t="s">
        <v>74</v>
      </c>
      <c r="E18" t="s">
        <v>75</v>
      </c>
      <c r="F18" t="s">
        <v>76</v>
      </c>
      <c r="G18">
        <v>31.569849347380199</v>
      </c>
      <c r="H18">
        <v>2.4E-2</v>
      </c>
      <c r="I18">
        <v>337.30044555664</v>
      </c>
      <c r="J18">
        <v>337.15353393554602</v>
      </c>
      <c r="K18">
        <v>0</v>
      </c>
      <c r="L18">
        <v>0</v>
      </c>
      <c r="O18">
        <v>0</v>
      </c>
      <c r="P18">
        <v>1.5</v>
      </c>
      <c r="Q18">
        <v>0</v>
      </c>
      <c r="R18">
        <v>2</v>
      </c>
      <c r="S18">
        <v>0</v>
      </c>
      <c r="T18">
        <v>1</v>
      </c>
      <c r="U18">
        <v>0.5</v>
      </c>
      <c r="V18">
        <v>1</v>
      </c>
    </row>
    <row r="19" spans="1:22" x14ac:dyDescent="0.25">
      <c r="A19" t="s">
        <v>276</v>
      </c>
      <c r="B19">
        <v>59</v>
      </c>
      <c r="C19" t="s">
        <v>244</v>
      </c>
      <c r="D19" t="s">
        <v>74</v>
      </c>
      <c r="E19" t="s">
        <v>75</v>
      </c>
      <c r="F19" t="s">
        <v>76</v>
      </c>
      <c r="G19">
        <v>29.557580407201701</v>
      </c>
      <c r="H19">
        <v>2.4E-2</v>
      </c>
      <c r="I19">
        <v>326.11297607421801</v>
      </c>
      <c r="J19">
        <v>326.04397583007801</v>
      </c>
      <c r="K19">
        <v>0</v>
      </c>
      <c r="L19">
        <v>0</v>
      </c>
      <c r="O19">
        <v>0</v>
      </c>
      <c r="P19">
        <v>1.2</v>
      </c>
      <c r="Q19">
        <v>0</v>
      </c>
      <c r="R19">
        <v>5</v>
      </c>
      <c r="S19">
        <v>0</v>
      </c>
      <c r="T19">
        <v>1</v>
      </c>
      <c r="U19">
        <v>0.5</v>
      </c>
      <c r="V19">
        <v>1</v>
      </c>
    </row>
    <row r="20" spans="1:22" x14ac:dyDescent="0.25">
      <c r="A20" t="s">
        <v>277</v>
      </c>
      <c r="B20">
        <v>60</v>
      </c>
      <c r="C20" t="s">
        <v>245</v>
      </c>
      <c r="D20" t="s">
        <v>74</v>
      </c>
      <c r="E20" t="s">
        <v>75</v>
      </c>
      <c r="F20" t="s">
        <v>76</v>
      </c>
      <c r="G20">
        <v>23.9185657981918</v>
      </c>
      <c r="H20">
        <v>2.4E-2</v>
      </c>
      <c r="I20">
        <v>326.90853881835898</v>
      </c>
      <c r="J20">
        <v>326.70608520507801</v>
      </c>
      <c r="K20">
        <v>0</v>
      </c>
      <c r="L20">
        <v>0</v>
      </c>
      <c r="O20">
        <v>0</v>
      </c>
      <c r="P20">
        <v>0.9</v>
      </c>
      <c r="Q20">
        <v>0</v>
      </c>
      <c r="R20">
        <v>4</v>
      </c>
      <c r="S20">
        <v>0</v>
      </c>
      <c r="T20">
        <v>1</v>
      </c>
      <c r="U20">
        <v>0.5</v>
      </c>
      <c r="V20">
        <v>1</v>
      </c>
    </row>
    <row r="21" spans="1:22" x14ac:dyDescent="0.25">
      <c r="A21" t="s">
        <v>278</v>
      </c>
      <c r="B21">
        <v>61</v>
      </c>
      <c r="C21" t="s">
        <v>246</v>
      </c>
      <c r="D21" t="s">
        <v>74</v>
      </c>
      <c r="E21" t="s">
        <v>75</v>
      </c>
      <c r="F21" t="s">
        <v>76</v>
      </c>
      <c r="G21">
        <v>37.377588163785099</v>
      </c>
      <c r="H21">
        <v>2.4E-2</v>
      </c>
      <c r="I21">
        <v>315.327</v>
      </c>
      <c r="J21">
        <v>315.01</v>
      </c>
      <c r="K21">
        <v>0</v>
      </c>
      <c r="L21">
        <v>0</v>
      </c>
      <c r="O21">
        <v>0</v>
      </c>
      <c r="P21">
        <v>1.5</v>
      </c>
      <c r="Q21">
        <v>0</v>
      </c>
      <c r="R21">
        <v>12</v>
      </c>
      <c r="S21">
        <v>0</v>
      </c>
      <c r="T21">
        <v>1</v>
      </c>
      <c r="U21">
        <v>0.5</v>
      </c>
      <c r="V21">
        <v>1</v>
      </c>
    </row>
    <row r="22" spans="1:22" x14ac:dyDescent="0.25">
      <c r="A22" t="s">
        <v>279</v>
      </c>
      <c r="B22">
        <v>62</v>
      </c>
      <c r="C22" t="s">
        <v>247</v>
      </c>
      <c r="D22" t="s">
        <v>74</v>
      </c>
      <c r="E22" t="s">
        <v>75</v>
      </c>
      <c r="F22" t="s">
        <v>76</v>
      </c>
      <c r="G22">
        <v>44.029780063936997</v>
      </c>
      <c r="H22">
        <v>2.4E-2</v>
      </c>
      <c r="I22">
        <v>316.81463623046801</v>
      </c>
      <c r="J22">
        <v>316.600006103515</v>
      </c>
      <c r="K22">
        <v>0</v>
      </c>
      <c r="L22">
        <v>0</v>
      </c>
      <c r="O22">
        <v>0</v>
      </c>
      <c r="P22">
        <v>1.5</v>
      </c>
      <c r="Q22">
        <v>0</v>
      </c>
      <c r="R22">
        <v>4</v>
      </c>
      <c r="S22">
        <v>0</v>
      </c>
      <c r="T22">
        <v>1</v>
      </c>
      <c r="U22">
        <v>0.5</v>
      </c>
      <c r="V22">
        <v>1</v>
      </c>
    </row>
    <row r="23" spans="1:22" x14ac:dyDescent="0.25">
      <c r="A23" t="s">
        <v>280</v>
      </c>
      <c r="B23">
        <v>63</v>
      </c>
      <c r="C23" t="s">
        <v>248</v>
      </c>
      <c r="D23" t="s">
        <v>74</v>
      </c>
      <c r="E23" t="s">
        <v>75</v>
      </c>
      <c r="F23" t="s">
        <v>76</v>
      </c>
      <c r="G23">
        <v>31.3763053742836</v>
      </c>
      <c r="H23">
        <v>2.4E-2</v>
      </c>
      <c r="I23">
        <v>322.864654541015</v>
      </c>
      <c r="J23">
        <v>322.106842041015</v>
      </c>
      <c r="K23">
        <v>0</v>
      </c>
      <c r="L23">
        <v>0</v>
      </c>
      <c r="O23">
        <v>0</v>
      </c>
      <c r="P23">
        <v>1.2</v>
      </c>
      <c r="Q23">
        <v>0</v>
      </c>
      <c r="R23">
        <v>2</v>
      </c>
      <c r="S23">
        <v>0</v>
      </c>
      <c r="T23">
        <v>1</v>
      </c>
      <c r="U23">
        <v>0.5</v>
      </c>
      <c r="V23">
        <v>1</v>
      </c>
    </row>
    <row r="24" spans="1:22" x14ac:dyDescent="0.25">
      <c r="A24" t="s">
        <v>281</v>
      </c>
      <c r="B24">
        <v>64</v>
      </c>
      <c r="C24" t="s">
        <v>249</v>
      </c>
      <c r="D24" t="s">
        <v>74</v>
      </c>
      <c r="E24" t="s">
        <v>75</v>
      </c>
      <c r="F24" t="s">
        <v>76</v>
      </c>
      <c r="G24">
        <v>54.727100608923102</v>
      </c>
      <c r="H24">
        <v>2.4E-2</v>
      </c>
      <c r="I24">
        <v>356.22253417968699</v>
      </c>
      <c r="J24">
        <v>355.70806884765602</v>
      </c>
      <c r="K24">
        <v>0</v>
      </c>
      <c r="L24">
        <v>0</v>
      </c>
      <c r="O24">
        <v>0</v>
      </c>
      <c r="P24">
        <v>1.5</v>
      </c>
      <c r="Q24">
        <v>0</v>
      </c>
      <c r="R24">
        <v>1</v>
      </c>
      <c r="S24">
        <v>0</v>
      </c>
      <c r="T24">
        <v>1</v>
      </c>
      <c r="U24">
        <v>0.5</v>
      </c>
      <c r="V24">
        <v>1</v>
      </c>
    </row>
    <row r="25" spans="1:22" x14ac:dyDescent="0.25">
      <c r="A25" t="s">
        <v>282</v>
      </c>
      <c r="B25">
        <v>67</v>
      </c>
      <c r="C25" t="s">
        <v>250</v>
      </c>
      <c r="D25" t="s">
        <v>74</v>
      </c>
      <c r="E25" t="s">
        <v>75</v>
      </c>
      <c r="F25" t="s">
        <v>76</v>
      </c>
      <c r="G25">
        <v>34.4633529491894</v>
      </c>
      <c r="H25">
        <v>2.4E-2</v>
      </c>
      <c r="I25">
        <v>352.68200683593699</v>
      </c>
      <c r="J25">
        <v>352.15353393554602</v>
      </c>
      <c r="K25">
        <v>0</v>
      </c>
      <c r="L25">
        <v>0</v>
      </c>
      <c r="O25">
        <v>0</v>
      </c>
      <c r="P25">
        <v>1.2</v>
      </c>
      <c r="Q25">
        <v>0</v>
      </c>
      <c r="R25">
        <v>2</v>
      </c>
      <c r="S25">
        <v>0</v>
      </c>
      <c r="T25">
        <v>1</v>
      </c>
      <c r="U25">
        <v>0.5</v>
      </c>
      <c r="V25">
        <v>1</v>
      </c>
    </row>
    <row r="26" spans="1:22" x14ac:dyDescent="0.25">
      <c r="A26" t="s">
        <v>283</v>
      </c>
      <c r="B26">
        <v>69</v>
      </c>
      <c r="C26" t="s">
        <v>251</v>
      </c>
      <c r="D26" t="s">
        <v>74</v>
      </c>
      <c r="E26" t="s">
        <v>75</v>
      </c>
      <c r="F26" t="s">
        <v>76</v>
      </c>
      <c r="G26">
        <v>25.3132624526312</v>
      </c>
      <c r="H26">
        <v>2.4E-2</v>
      </c>
      <c r="I26">
        <v>351.56097412109301</v>
      </c>
      <c r="J26">
        <v>351.14425659179602</v>
      </c>
      <c r="K26">
        <v>0</v>
      </c>
      <c r="L26">
        <v>0</v>
      </c>
      <c r="O26">
        <v>0</v>
      </c>
      <c r="P26">
        <v>1.2</v>
      </c>
      <c r="Q26">
        <v>0</v>
      </c>
      <c r="R26">
        <v>2</v>
      </c>
      <c r="S26">
        <v>0</v>
      </c>
      <c r="T26">
        <v>1</v>
      </c>
      <c r="U26">
        <v>0.5</v>
      </c>
      <c r="V26">
        <v>1</v>
      </c>
    </row>
    <row r="27" spans="1:22" x14ac:dyDescent="0.25">
      <c r="A27" t="s">
        <v>284</v>
      </c>
      <c r="B27">
        <v>71</v>
      </c>
      <c r="C27" t="s">
        <v>252</v>
      </c>
      <c r="D27" t="s">
        <v>74</v>
      </c>
      <c r="E27" t="s">
        <v>75</v>
      </c>
      <c r="F27" t="s">
        <v>76</v>
      </c>
      <c r="G27">
        <v>24.390499704903601</v>
      </c>
      <c r="H27">
        <v>2.4E-2</v>
      </c>
      <c r="I27">
        <v>353.093658447265</v>
      </c>
      <c r="J27">
        <v>352.65432739257801</v>
      </c>
      <c r="K27">
        <v>0</v>
      </c>
      <c r="L27">
        <v>0</v>
      </c>
      <c r="O27">
        <v>0</v>
      </c>
      <c r="P27">
        <v>0.9</v>
      </c>
      <c r="Q27">
        <v>0</v>
      </c>
      <c r="R27">
        <v>1</v>
      </c>
      <c r="S27">
        <v>0</v>
      </c>
      <c r="T27">
        <v>1</v>
      </c>
      <c r="U27">
        <v>0.5</v>
      </c>
      <c r="V27">
        <v>1</v>
      </c>
    </row>
    <row r="28" spans="1:22" x14ac:dyDescent="0.25">
      <c r="A28" t="s">
        <v>285</v>
      </c>
      <c r="B28">
        <v>74</v>
      </c>
      <c r="C28" t="s">
        <v>253</v>
      </c>
      <c r="D28" t="s">
        <v>74</v>
      </c>
      <c r="E28" t="s">
        <v>75</v>
      </c>
      <c r="F28" t="s">
        <v>76</v>
      </c>
      <c r="G28">
        <v>43.0314456609673</v>
      </c>
      <c r="H28">
        <v>2.4E-2</v>
      </c>
      <c r="I28">
        <v>337.62054443359301</v>
      </c>
      <c r="J28">
        <v>336.73544311523398</v>
      </c>
      <c r="K28">
        <v>0</v>
      </c>
      <c r="L28">
        <v>0</v>
      </c>
      <c r="O28">
        <v>0</v>
      </c>
      <c r="P28">
        <v>0.9</v>
      </c>
      <c r="Q28">
        <v>0</v>
      </c>
      <c r="R28">
        <v>1</v>
      </c>
      <c r="S28">
        <v>0</v>
      </c>
      <c r="T28">
        <v>1</v>
      </c>
      <c r="U28">
        <v>0.5</v>
      </c>
      <c r="V28">
        <v>1</v>
      </c>
    </row>
    <row r="29" spans="1:22" x14ac:dyDescent="0.25">
      <c r="A29" t="s">
        <v>286</v>
      </c>
      <c r="B29">
        <v>75</v>
      </c>
      <c r="C29" t="s">
        <v>254</v>
      </c>
      <c r="D29" t="s">
        <v>74</v>
      </c>
      <c r="E29" t="s">
        <v>75</v>
      </c>
      <c r="F29" t="s">
        <v>76</v>
      </c>
      <c r="G29">
        <v>60.4220667276292</v>
      </c>
      <c r="H29">
        <v>2.4E-2</v>
      </c>
      <c r="I29">
        <v>328.62905883789</v>
      </c>
      <c r="J29">
        <v>328.225982666015</v>
      </c>
      <c r="K29">
        <v>0</v>
      </c>
      <c r="L29">
        <v>0</v>
      </c>
      <c r="O29">
        <v>0</v>
      </c>
      <c r="P29">
        <v>1.2</v>
      </c>
      <c r="Q29">
        <v>0</v>
      </c>
      <c r="R29">
        <v>1</v>
      </c>
      <c r="S29">
        <v>0</v>
      </c>
      <c r="T29">
        <v>1</v>
      </c>
      <c r="U29">
        <v>0.5</v>
      </c>
      <c r="V29">
        <v>1</v>
      </c>
    </row>
    <row r="30" spans="1:22" x14ac:dyDescent="0.25">
      <c r="A30" t="s">
        <v>287</v>
      </c>
      <c r="B30">
        <v>77</v>
      </c>
      <c r="C30" t="s">
        <v>255</v>
      </c>
      <c r="D30" t="s">
        <v>74</v>
      </c>
      <c r="E30" t="s">
        <v>75</v>
      </c>
      <c r="F30" t="s">
        <v>76</v>
      </c>
      <c r="G30">
        <v>48.158669153474698</v>
      </c>
      <c r="H30">
        <v>2.4E-2</v>
      </c>
      <c r="I30">
        <v>359.226</v>
      </c>
      <c r="J30">
        <v>357.96600000000001</v>
      </c>
      <c r="K30">
        <v>0</v>
      </c>
      <c r="L30">
        <v>0</v>
      </c>
      <c r="O30">
        <v>0</v>
      </c>
      <c r="P30">
        <v>0.9</v>
      </c>
      <c r="Q30">
        <v>0</v>
      </c>
      <c r="R30">
        <v>1</v>
      </c>
      <c r="S30">
        <v>0</v>
      </c>
      <c r="T30">
        <v>1</v>
      </c>
      <c r="U30">
        <v>0.5</v>
      </c>
      <c r="V30">
        <v>1</v>
      </c>
    </row>
    <row r="31" spans="1:22" x14ac:dyDescent="0.25">
      <c r="A31" t="s">
        <v>288</v>
      </c>
      <c r="B31">
        <v>78</v>
      </c>
      <c r="C31" t="s">
        <v>256</v>
      </c>
      <c r="D31" t="s">
        <v>74</v>
      </c>
      <c r="E31" t="s">
        <v>75</v>
      </c>
      <c r="F31" t="s">
        <v>76</v>
      </c>
      <c r="G31">
        <v>35.961433166776203</v>
      </c>
      <c r="H31">
        <v>2.4E-2</v>
      </c>
      <c r="I31">
        <v>346.56299999999999</v>
      </c>
      <c r="J31">
        <v>345.32499999999999</v>
      </c>
      <c r="K31">
        <v>0</v>
      </c>
      <c r="L31">
        <v>0</v>
      </c>
      <c r="O31">
        <v>0</v>
      </c>
      <c r="P31">
        <v>0.9</v>
      </c>
      <c r="Q31">
        <v>0</v>
      </c>
      <c r="R31">
        <v>1</v>
      </c>
      <c r="S31">
        <v>0</v>
      </c>
      <c r="T31">
        <v>1</v>
      </c>
      <c r="U31">
        <v>0.5</v>
      </c>
      <c r="V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FDD83-39BD-4895-8821-EB41D2B0B7D3}">
  <dimension ref="A1:AC1396"/>
  <sheetViews>
    <sheetView workbookViewId="0"/>
  </sheetViews>
  <sheetFormatPr defaultRowHeight="15" x14ac:dyDescent="0.25"/>
  <cols>
    <col min="2" max="2" width="26.85546875" bestFit="1" customWidth="1"/>
    <col min="3" max="3" width="14.5703125" bestFit="1" customWidth="1"/>
    <col min="7" max="7" width="11.140625" bestFit="1" customWidth="1"/>
    <col min="8" max="8" width="11.140625" customWidth="1"/>
    <col min="9" max="9" width="19.28515625" customWidth="1"/>
    <col min="12" max="13" width="12.28515625" bestFit="1" customWidth="1"/>
    <col min="15" max="15" width="15.42578125" bestFit="1" customWidth="1"/>
    <col min="22" max="22" width="9.140625" style="7"/>
    <col min="23" max="23" width="41" bestFit="1" customWidth="1"/>
    <col min="24" max="24" width="11.85546875" customWidth="1"/>
    <col min="26" max="26" width="15.7109375" bestFit="1" customWidth="1"/>
    <col min="28" max="28" width="32.85546875" bestFit="1" customWidth="1"/>
    <col min="32" max="33" width="7.5703125" customWidth="1"/>
    <col min="34" max="34" width="11" customWidth="1"/>
    <col min="39" max="40" width="26.85546875" bestFit="1" customWidth="1"/>
  </cols>
  <sheetData>
    <row r="1" spans="1:29" x14ac:dyDescent="0.25">
      <c r="B1" s="3" t="s">
        <v>0</v>
      </c>
      <c r="C1" s="14" t="str" cm="1">
        <f t="array" aca="1" ref="C1" ca="1">IF(COUNTA(_xlfn.UNIQUE(_xlfn.ANCHORARRAY(B4)&amp;_xlfn.ANCHORARRAY(C4)))&lt;COUNTA(_xlfn.ANCHORARRAY(C4)),"DUPLICATES","")</f>
        <v>DUPLICATES</v>
      </c>
    </row>
    <row r="2" spans="1:29" x14ac:dyDescent="0.25">
      <c r="B2" t="s">
        <v>108</v>
      </c>
      <c r="C2" t="s">
        <v>109</v>
      </c>
      <c r="D2" s="10"/>
      <c r="E2" t="s">
        <v>1</v>
      </c>
      <c r="F2" t="s">
        <v>2</v>
      </c>
      <c r="G2" t="s">
        <v>3</v>
      </c>
      <c r="H2" t="s">
        <v>258</v>
      </c>
      <c r="J2" t="s">
        <v>4</v>
      </c>
      <c r="K2" t="s">
        <v>84</v>
      </c>
      <c r="L2" t="s">
        <v>112</v>
      </c>
      <c r="M2" t="s">
        <v>113</v>
      </c>
      <c r="T2" t="s">
        <v>36</v>
      </c>
      <c r="U2" t="s">
        <v>62</v>
      </c>
    </row>
    <row r="3" spans="1:29" x14ac:dyDescent="0.25">
      <c r="A3" t="s">
        <v>91</v>
      </c>
      <c r="B3" t="s">
        <v>0</v>
      </c>
      <c r="C3" s="3" t="s">
        <v>151</v>
      </c>
      <c r="D3" t="s">
        <v>5</v>
      </c>
      <c r="E3" t="s">
        <v>1</v>
      </c>
      <c r="F3" t="s">
        <v>2</v>
      </c>
      <c r="G3" t="s">
        <v>3</v>
      </c>
      <c r="H3" t="s">
        <v>258</v>
      </c>
      <c r="I3" t="s">
        <v>290</v>
      </c>
      <c r="J3" t="s">
        <v>4</v>
      </c>
      <c r="K3" t="s">
        <v>84</v>
      </c>
      <c r="L3" t="s">
        <v>6</v>
      </c>
      <c r="M3" t="s">
        <v>7</v>
      </c>
      <c r="N3" t="s">
        <v>8</v>
      </c>
      <c r="O3" t="s">
        <v>78</v>
      </c>
      <c r="P3" t="s">
        <v>79</v>
      </c>
      <c r="Q3" t="s">
        <v>80</v>
      </c>
      <c r="R3" t="s">
        <v>81</v>
      </c>
      <c r="S3" t="s">
        <v>82</v>
      </c>
      <c r="T3" t="s">
        <v>36</v>
      </c>
      <c r="U3" t="s">
        <v>62</v>
      </c>
      <c r="V3" s="6" t="s">
        <v>97</v>
      </c>
      <c r="W3" s="4"/>
      <c r="X3" s="4" t="s">
        <v>167</v>
      </c>
      <c r="Z3" s="8">
        <f>COUNTA('1d_nwk-import'!A:A)</f>
        <v>31</v>
      </c>
      <c r="AA3" t="s">
        <v>143</v>
      </c>
    </row>
    <row r="4" spans="1:29" x14ac:dyDescent="0.25">
      <c r="A4" cm="1">
        <f t="array" aca="1" ref="A4:A63" ca="1">INT((ROW(_xlfn.ANCHORARRAY(B4))-2)/2)</f>
        <v>1</v>
      </c>
      <c r="B4" s="3" t="str" cm="1">
        <f t="array" aca="1" ref="B4:B63" ca="1">_xlfn._xlws.SORT(_xlfn.VSTACK(_xlfn._xlws.FILTER(INDIRECT($AB$5), INDIRECT($AB$5)&lt;&gt;""),
             _xlfn._xlws.FILTER(INDIRECT($AB$5), INDIRECT($AB$5)&lt;&gt;"")))</f>
        <v>R-1</v>
      </c>
      <c r="C4" s="3" t="str" cm="1">
        <f t="array" aca="1" ref="C4:C63" ca="1">_xlfn.ANCHORARRAY(B4)</f>
        <v>R-1</v>
      </c>
      <c r="D4" cm="1">
        <f t="array" aca="1" ref="D4:D63" ca="1">NOT(MOD(ROW(_xlfn.ANCHORARRAY(B4)),2))*1</f>
        <v>1</v>
      </c>
      <c r="E4" cm="1">
        <f t="array" aca="1" ref="E4:E63" ca="1">INDEX('1d_nwk-import'!$A$1:$ZZ$50000,MATCH(_xlfn.ANCHORARRAY($B4),INDIRECT($AC$5),0),INDEX($AA:$AA,MATCH(E$2,$Z:$Z,0)))</f>
        <v>398.32244873046801</v>
      </c>
      <c r="F4" cm="1">
        <f t="array" aca="1" ref="F4:F63" ca="1">INDEX('1d_nwk-import'!$A$1:$ZZ$50000,MATCH(_xlfn.ANCHORARRAY($B4),INDIRECT($AC$5),0),INDEX($AA:$AA,MATCH(F$2,$Z:$Z,0)))</f>
        <v>395.86798095703102</v>
      </c>
      <c r="G4" cm="1">
        <f t="array" aca="1" ref="G4:G63" ca="1">IFERROR(INDEX('1d_nwk-import'!$A$1:$ZZ$50000,MATCH(_xlfn.ANCHORARRAY($B4),INDIRECT($AC$5),0),INDEX($AA:$AA,MATCH(G$2,$Z:$Z,0))),1)</f>
        <v>5</v>
      </c>
      <c r="H4" t="str" cm="1">
        <f t="array" aca="1" ref="H4:H63" ca="1">(INDEX('1d_nwk-import'!$A$1:$ZZ$50000,MATCH(_xlfn.ANCHORARRAY($B4),INDIRECT($AC$5),0),INDEX($AA:$AA,MATCH(H$2,$Z:$Z,0))))</f>
        <v>MultiLineString ((687316.367809071787633 7565096.3571438966318965, 687240.47098323528189212 7565130.91730566136538982))</v>
      </c>
      <c r="I4" s="15" cm="1">
        <f t="array" aca="1" ref="I4:I63" ca="1">_xlfn.ANCHORARRAY(J4)</f>
        <v>1.5</v>
      </c>
      <c r="J4" cm="1">
        <f t="array" aca="1" ref="J4:J63" ca="1">INDEX('1d_nwk-import'!$A$1:$ZZ$50000,MATCH(_xlfn.ANCHORARRAY($B4),INDIRECT($AC$5),0),INDEX($AA:$AA,MATCH(J$2,$Z:$Z,0)))</f>
        <v>1.5</v>
      </c>
      <c r="K4" cm="1">
        <f t="array" aca="1" ref="K4:K63" ca="1">INDEX('1d_nwk-import'!$A$1:$ZZ$50000,MATCH(_xlfn.ANCHORARRAY($B4),INDIRECT($AC$5),0),INDEX($AA:$AA,MATCH(K$2,$Z:$Z,0)))</f>
        <v>0</v>
      </c>
      <c r="L4" cm="1">
        <f t="array" aca="1" ref="L4:L63" ca="1">_xlfn.BYROW(_xlfn.ANCHORARRAY(H4), _xlfn.LAMBDA(_xlpm.h,
    _xlfn.LET(
        _xlpm.cleanString, SUBSTITUTE(SUBSTITUTE(_xlpm.h, "MultiLineString ((", ""), "))", ""),
        _xlpm.xmlString, "&lt;t&gt;&lt;s&gt;" &amp; SUBSTITUTE(SUBSTITUTE(_xlpm.cleanString, ", ", "&lt;/s&gt;&lt;s&gt;"), " ", "&lt;/s&gt;&lt;s&gt;") &amp; "&lt;/s&gt;&lt;/t&gt;",
        _xlpm.numbers, _xlfn.FILTERXML(_xlpm.xmlString, "//s"),
        _xlpm.criteria, INDEX(_xlfn.ANCHORARRAY(D4), ROW(_xlpm.h) - ROW(H4) + 1),
        IF(_xlpm.criteria = 0, INDEX(_xlpm.numbers, 1), INDEX(_xlpm.numbers, 3))
    )
))</f>
        <v>687240.47098323505</v>
      </c>
      <c r="M4" cm="1">
        <f t="array" aca="1" ref="M4:M63" ca="1">_xlfn.BYROW(_xlfn.ANCHORARRAY(H4), _xlfn.LAMBDA(_xlpm.h,
    _xlfn.LET(
        _xlpm.cleanString, SUBSTITUTE(SUBSTITUTE(_xlpm.h, "MultiLineString ((", ""), "))", ""),
        _xlpm.xmlString, "&lt;t&gt;&lt;s&gt;" &amp; SUBSTITUTE(SUBSTITUTE(_xlpm.cleanString, ", ", "&lt;/s&gt;&lt;s&gt;"), " ", "&lt;/s&gt;&lt;s&gt;") &amp; "&lt;/s&gt;&lt;/t&gt;",
        _xlpm.numbers, _xlfn.FILTERXML(_xlpm.xmlString, "//s"),
        _xlpm.criteria, INDEX(_xlfn.ANCHORARRAY(D4), ROW(_xlpm.h) - ROW(H4) + 1),
        IF(_xlpm.criteria = 0, INDEX(_xlpm.numbers, 2), INDEX(_xlpm.numbers, 4))
    )
))</f>
        <v>7565130.9173056604</v>
      </c>
      <c r="N4" cm="1">
        <f t="array" aca="1" ref="N4:N63" ca="1">IF(_xlfn.ANCHORARRAY(D4),_xlfn.ANCHORARRAY(E4),_xlfn.ANCHORARRAY(F4))</f>
        <v>398.32244873046801</v>
      </c>
      <c r="O4" cm="1">
        <f t="array" aca="1" ref="O4:O63" ca="1">SQRT(_xlfn.ANCHORARRAY(Q4)^2+_xlfn.ANCHORARRAY(R4)^2)</f>
        <v>83.395041540605504</v>
      </c>
      <c r="P4" cm="1">
        <f t="array" aca="1" ref="P4:P63" ca="1">_xlfn.ANCHORARRAY(O4)</f>
        <v>83.395041540605504</v>
      </c>
      <c r="Q4" cm="1">
        <f t="array" aca="1" ref="Q4:Q63" ca="1">SUMIFS(L:L,$B:$B,_xlfn.ANCHORARRAY($B4),$D:$D,0)-SUMIFS(L:L,$B:$B,_xlfn.ANCHORARRAY($B4),$D:$D,1)</f>
        <v>75.896825835923664</v>
      </c>
      <c r="R4" cm="1">
        <f t="array" aca="1" ref="R4:R63" ca="1">SUMIFS(M:M,$B:$B,_xlfn.ANCHORARRAY($B4),$D:$D,0)-SUMIFS(M:M,$B:$B,_xlfn.ANCHORARRAY($B4),$D:$D,1)</f>
        <v>-34.560161770321429</v>
      </c>
      <c r="S4" cm="1">
        <f t="array" aca="1" ref="S4:S63" ca="1">_xlfn.ANCHORARRAY(F4)-_xlfn.ANCHORARRAY(E4)</f>
        <v>-2.4544677734369884</v>
      </c>
      <c r="T4" t="str" cm="1">
        <f t="array" aca="1" ref="T4:T63" ca="1">INDEX('1d_nwk-import'!$A$1:$ZZ$50000,MATCH(_xlfn.ANCHORARRAY($B4),INDIRECT($AC$5),0),INDEX($AA:$AA,MATCH(T$2,$Z:$Z,0)))</f>
        <v>C</v>
      </c>
      <c r="U4" cm="1">
        <f t="array" aca="1" ref="U4:U63" ca="1">INDEX('1d_nwk-import'!$A$1:$ZZ$50000,MATCH(_xlfn.ANCHORARRAY($B4),INDIRECT($AC$5),0),INDEX($AA:$AA,MATCH(U$2,$Z:$Z,0)))</f>
        <v>2.4E-2</v>
      </c>
      <c r="V4" s="7" cm="1">
        <f t="array" aca="1" ref="V4:V63" ca="1">IF(ISBLANK(_xlfn.ANCHORARRAY(B4)),0,90)</f>
        <v>90</v>
      </c>
      <c r="X4" t="str" cm="1">
        <f t="array" aca="1" ref="X4:X63" ca="1">_xlfn.ANCHORARRAY(T4)</f>
        <v>C</v>
      </c>
      <c r="AB4" t="s">
        <v>289</v>
      </c>
      <c r="AC4" t="str" cm="1">
        <f t="array" aca="1" ref="AC4" ca="1">MID(CELL("filename",'1d_nwk-import'!A1),FIND("]",CELL("filename",'1d_nwk-import'!A1))+1,255)</f>
        <v>1d_nwk-import</v>
      </c>
    </row>
    <row r="5" spans="1:29" x14ac:dyDescent="0.25">
      <c r="A5">
        <f ca="1"/>
        <v>1</v>
      </c>
      <c r="B5" s="3" t="str">
        <f ca="1"/>
        <v>R-1</v>
      </c>
      <c r="C5" t="str">
        <f ca="1"/>
        <v>R-1</v>
      </c>
      <c r="D5">
        <f ca="1"/>
        <v>0</v>
      </c>
      <c r="E5">
        <f ca="1"/>
        <v>398.32244873046801</v>
      </c>
      <c r="F5">
        <f ca="1"/>
        <v>395.86798095703102</v>
      </c>
      <c r="G5">
        <f ca="1"/>
        <v>5</v>
      </c>
      <c r="H5" t="str">
        <f ca="1"/>
        <v>MultiLineString ((687316.367809071787633 7565096.3571438966318965, 687240.47098323528189212 7565130.91730566136538982))</v>
      </c>
      <c r="I5">
        <f ca="1"/>
        <v>1.5</v>
      </c>
      <c r="J5">
        <f ca="1"/>
        <v>1.5</v>
      </c>
      <c r="K5">
        <f ca="1"/>
        <v>0</v>
      </c>
      <c r="L5">
        <f ca="1"/>
        <v>687316.36780907097</v>
      </c>
      <c r="M5">
        <f ca="1"/>
        <v>7565096.3571438901</v>
      </c>
      <c r="N5">
        <f ca="1"/>
        <v>395.86798095703102</v>
      </c>
      <c r="O5">
        <f ca="1"/>
        <v>83.395041540605504</v>
      </c>
      <c r="P5">
        <f ca="1"/>
        <v>83.395041540605504</v>
      </c>
      <c r="Q5">
        <f ca="1"/>
        <v>75.896825835923664</v>
      </c>
      <c r="R5">
        <f ca="1"/>
        <v>-34.560161770321429</v>
      </c>
      <c r="S5">
        <f ca="1"/>
        <v>-2.4544677734369884</v>
      </c>
      <c r="T5" t="str">
        <f ca="1"/>
        <v>C</v>
      </c>
      <c r="U5" s="9">
        <f ca="1"/>
        <v>2.4E-2</v>
      </c>
      <c r="V5" s="7">
        <f ca="1"/>
        <v>90</v>
      </c>
      <c r="X5" t="str">
        <f ca="1"/>
        <v>C</v>
      </c>
      <c r="Z5" t="s">
        <v>0</v>
      </c>
      <c r="AA5">
        <f>MATCH(Z5,'1d_nwk-import'!$1:$1,0)</f>
        <v>3</v>
      </c>
      <c r="AB5" t="str">
        <f>_xlfn.CONCAT(ADDRESS(2,AA5,1,1,AB$4),":",ADDRESS($Z$3,AA5,1,1))</f>
        <v>'1d_nwk-import'!$C$2:$C$31</v>
      </c>
      <c r="AC5" t="str">
        <f ca="1">_xlfn.CONCAT("'",AC$4,"'!",SUBSTITUTE(ADDRESS(1,AA5,4),"1",""),":",SUBSTITUTE(ADDRESS(1,AA5,4),"1",""))</f>
        <v>'1d_nwk-import'!C:C</v>
      </c>
    </row>
    <row r="6" spans="1:29" x14ac:dyDescent="0.25">
      <c r="A6">
        <f ca="1"/>
        <v>2</v>
      </c>
      <c r="B6" s="3" t="str">
        <f ca="1"/>
        <v>R-10</v>
      </c>
      <c r="C6" t="str">
        <f ca="1"/>
        <v>R-10</v>
      </c>
      <c r="D6">
        <f ca="1"/>
        <v>1</v>
      </c>
      <c r="E6">
        <f ca="1"/>
        <v>349.98645019531199</v>
      </c>
      <c r="F6">
        <f ca="1"/>
        <v>349.86862182617102</v>
      </c>
      <c r="G6">
        <f ca="1"/>
        <v>2</v>
      </c>
      <c r="H6" t="str">
        <f ca="1"/>
        <v>MultiLineString ((691801.30686036229599267 7569982.24155627377331257, 691774.55839837156236172 7569997.47331935167312622))</v>
      </c>
      <c r="I6">
        <f ca="1"/>
        <v>1.2</v>
      </c>
      <c r="J6">
        <f ca="1"/>
        <v>1.2</v>
      </c>
      <c r="K6">
        <f ca="1"/>
        <v>0</v>
      </c>
      <c r="L6">
        <f ca="1"/>
        <v>691774.55839837098</v>
      </c>
      <c r="M6">
        <f ca="1"/>
        <v>7569997.4733193498</v>
      </c>
      <c r="N6">
        <f ca="1"/>
        <v>349.98645019531199</v>
      </c>
      <c r="O6">
        <f ca="1"/>
        <v>30.781273940501425</v>
      </c>
      <c r="P6">
        <f ca="1"/>
        <v>30.781273940501425</v>
      </c>
      <c r="Q6">
        <f ca="1"/>
        <v>26.748461990966462</v>
      </c>
      <c r="R6">
        <f ca="1"/>
        <v>-15.231763079762459</v>
      </c>
      <c r="S6">
        <f ca="1"/>
        <v>-0.11782836914096606</v>
      </c>
      <c r="T6" t="str">
        <f ca="1"/>
        <v>C</v>
      </c>
      <c r="U6" s="9">
        <f ca="1"/>
        <v>2.4E-2</v>
      </c>
      <c r="V6" s="7">
        <f ca="1"/>
        <v>90</v>
      </c>
      <c r="X6" t="str">
        <f ca="1"/>
        <v>C</v>
      </c>
      <c r="Z6" t="s">
        <v>0</v>
      </c>
      <c r="AA6">
        <f>MATCH(Z6,'1d_nwk-import'!$1:$1,0)</f>
        <v>3</v>
      </c>
      <c r="AB6" t="str">
        <f>_xlfn.CONCAT(ADDRESS(2,AA6,1,1,AB$4),":",ADDRESS($Z$3,AA6,1,1))</f>
        <v>'1d_nwk-import'!$C$2:$C$31</v>
      </c>
      <c r="AC6" t="str">
        <f t="shared" ref="AC6:AC14" ca="1" si="0">_xlfn.CONCAT("'",AC$4,"'!",SUBSTITUTE(ADDRESS(1,AA6,4),"1",""),":",SUBSTITUTE(ADDRESS(1,AA6,4),"1",""))</f>
        <v>'1d_nwk-import'!C:C</v>
      </c>
    </row>
    <row r="7" spans="1:29" x14ac:dyDescent="0.25">
      <c r="A7">
        <f ca="1"/>
        <v>2</v>
      </c>
      <c r="B7" t="str">
        <f ca="1"/>
        <v>R-10</v>
      </c>
      <c r="C7" t="str">
        <f ca="1"/>
        <v>R-10</v>
      </c>
      <c r="D7">
        <f ca="1"/>
        <v>0</v>
      </c>
      <c r="E7">
        <f ca="1"/>
        <v>349.98645019531199</v>
      </c>
      <c r="F7">
        <f ca="1"/>
        <v>349.86862182617102</v>
      </c>
      <c r="G7">
        <f ca="1"/>
        <v>2</v>
      </c>
      <c r="H7" t="str">
        <f ca="1"/>
        <v>MultiLineString ((691801.30686036229599267 7569982.24155627377331257, 691774.55839837156236172 7569997.47331935167312622))</v>
      </c>
      <c r="I7">
        <f ca="1"/>
        <v>1.2</v>
      </c>
      <c r="J7">
        <f ca="1"/>
        <v>1.2</v>
      </c>
      <c r="K7">
        <f ca="1"/>
        <v>0</v>
      </c>
      <c r="L7">
        <f ca="1"/>
        <v>691801.30686036195</v>
      </c>
      <c r="M7">
        <f ca="1"/>
        <v>7569982.24155627</v>
      </c>
      <c r="N7">
        <f ca="1"/>
        <v>349.86862182617102</v>
      </c>
      <c r="O7">
        <f ca="1"/>
        <v>30.781273940501425</v>
      </c>
      <c r="P7">
        <f ca="1"/>
        <v>30.781273940501425</v>
      </c>
      <c r="Q7">
        <f ca="1"/>
        <v>26.748461990966462</v>
      </c>
      <c r="R7">
        <f ca="1"/>
        <v>-15.231763079762459</v>
      </c>
      <c r="S7">
        <f ca="1"/>
        <v>-0.11782836914096606</v>
      </c>
      <c r="T7" t="str">
        <f ca="1"/>
        <v>C</v>
      </c>
      <c r="U7" s="9">
        <f ca="1"/>
        <v>2.4E-2</v>
      </c>
      <c r="V7" s="7">
        <f ca="1"/>
        <v>90</v>
      </c>
      <c r="X7" t="str">
        <f ca="1"/>
        <v>C</v>
      </c>
      <c r="Z7" t="s">
        <v>1</v>
      </c>
      <c r="AA7">
        <f>MATCH(Z7,'1d_nwk-import'!$1:$1,0)</f>
        <v>9</v>
      </c>
      <c r="AC7" t="str">
        <f t="shared" ca="1" si="0"/>
        <v>'1d_nwk-import'!I:I</v>
      </c>
    </row>
    <row r="8" spans="1:29" x14ac:dyDescent="0.25">
      <c r="A8">
        <f ca="1"/>
        <v>3</v>
      </c>
      <c r="B8" t="str">
        <f ca="1"/>
        <v>R-10b</v>
      </c>
      <c r="C8" t="str">
        <f ca="1"/>
        <v>R-10b</v>
      </c>
      <c r="D8">
        <f ca="1"/>
        <v>1</v>
      </c>
      <c r="E8">
        <f ca="1"/>
        <v>351.56097412109301</v>
      </c>
      <c r="F8">
        <f ca="1"/>
        <v>351.14425659179602</v>
      </c>
      <c r="G8">
        <f ca="1"/>
        <v>2</v>
      </c>
      <c r="H8" t="str">
        <f ca="1"/>
        <v>MultiLineString ((691742.79459975729696453 7569821.37927791196852922, 691717.62504003697540611 7569824.07269943132996559))</v>
      </c>
      <c r="I8">
        <f ca="1"/>
        <v>1.2</v>
      </c>
      <c r="J8">
        <f ca="1"/>
        <v>1.2</v>
      </c>
      <c r="K8">
        <f ca="1"/>
        <v>0</v>
      </c>
      <c r="L8">
        <f ca="1"/>
        <v>691717.62504003604</v>
      </c>
      <c r="M8">
        <f ca="1"/>
        <v>7569824.0726994304</v>
      </c>
      <c r="N8">
        <f ca="1"/>
        <v>351.56097412109301</v>
      </c>
      <c r="O8">
        <f ca="1"/>
        <v>25.313262453309154</v>
      </c>
      <c r="P8">
        <f ca="1"/>
        <v>25.313262453309154</v>
      </c>
      <c r="Q8">
        <f ca="1"/>
        <v>25.169559720903635</v>
      </c>
      <c r="R8">
        <f ca="1"/>
        <v>-2.6934215202927589</v>
      </c>
      <c r="S8">
        <f ca="1"/>
        <v>-0.41671752929698869</v>
      </c>
      <c r="T8" t="str">
        <f ca="1"/>
        <v>C</v>
      </c>
      <c r="U8" s="9">
        <f ca="1"/>
        <v>2.4E-2</v>
      </c>
      <c r="V8" s="7">
        <f ca="1"/>
        <v>90</v>
      </c>
      <c r="X8" t="str">
        <f ca="1"/>
        <v>C</v>
      </c>
      <c r="Z8" t="s">
        <v>63</v>
      </c>
      <c r="AA8">
        <f>MATCH(Z8,'1d_nwk-import'!$1:$1,0)</f>
        <v>10</v>
      </c>
      <c r="AC8" t="str">
        <f t="shared" ca="1" si="0"/>
        <v>'1d_nwk-import'!J:J</v>
      </c>
    </row>
    <row r="9" spans="1:29" x14ac:dyDescent="0.25">
      <c r="A9">
        <f ca="1"/>
        <v>3</v>
      </c>
      <c r="B9" t="str">
        <f ca="1"/>
        <v>R-10b</v>
      </c>
      <c r="C9" t="str">
        <f ca="1"/>
        <v>R-10b</v>
      </c>
      <c r="D9">
        <f ca="1"/>
        <v>0</v>
      </c>
      <c r="E9">
        <f ca="1"/>
        <v>351.56097412109301</v>
      </c>
      <c r="F9">
        <f ca="1"/>
        <v>351.14425659179602</v>
      </c>
      <c r="G9">
        <f ca="1"/>
        <v>2</v>
      </c>
      <c r="H9" t="str">
        <f ca="1"/>
        <v>MultiLineString ((691742.79459975729696453 7569821.37927791196852922, 691717.62504003697540611 7569824.07269943132996559))</v>
      </c>
      <c r="I9">
        <f ca="1"/>
        <v>1.2</v>
      </c>
      <c r="J9">
        <f ca="1"/>
        <v>1.2</v>
      </c>
      <c r="K9">
        <f ca="1"/>
        <v>0</v>
      </c>
      <c r="L9">
        <f ca="1"/>
        <v>691742.79459975695</v>
      </c>
      <c r="M9">
        <f ca="1"/>
        <v>7569821.3792779101</v>
      </c>
      <c r="N9">
        <f ca="1"/>
        <v>351.14425659179602</v>
      </c>
      <c r="O9">
        <f ca="1"/>
        <v>25.313262453309154</v>
      </c>
      <c r="P9">
        <f ca="1"/>
        <v>25.313262453309154</v>
      </c>
      <c r="Q9">
        <f ca="1"/>
        <v>25.169559720903635</v>
      </c>
      <c r="R9">
        <f ca="1"/>
        <v>-2.6934215202927589</v>
      </c>
      <c r="S9">
        <f ca="1"/>
        <v>-0.41671752929698869</v>
      </c>
      <c r="T9" t="str">
        <f ca="1"/>
        <v>C</v>
      </c>
      <c r="U9" s="9">
        <f ca="1"/>
        <v>2.4E-2</v>
      </c>
      <c r="V9" s="7">
        <f ca="1"/>
        <v>90</v>
      </c>
      <c r="X9" t="str">
        <f ca="1"/>
        <v>C</v>
      </c>
      <c r="Z9" t="s">
        <v>3</v>
      </c>
      <c r="AA9">
        <f>MATCH(Z9,'1d_nwk-import'!$1:$1,0)</f>
        <v>18</v>
      </c>
      <c r="AC9" t="str">
        <f t="shared" ca="1" si="0"/>
        <v>'1d_nwk-import'!R:R</v>
      </c>
    </row>
    <row r="10" spans="1:29" x14ac:dyDescent="0.25">
      <c r="A10">
        <f ca="1"/>
        <v>4</v>
      </c>
      <c r="B10" t="str">
        <f ca="1"/>
        <v>R-10c</v>
      </c>
      <c r="C10" t="str">
        <f ca="1"/>
        <v>R-10c</v>
      </c>
      <c r="D10">
        <f ca="1"/>
        <v>1</v>
      </c>
      <c r="E10">
        <f ca="1"/>
        <v>353.093658447265</v>
      </c>
      <c r="F10">
        <f ca="1"/>
        <v>352.65432739257801</v>
      </c>
      <c r="G10">
        <f ca="1"/>
        <v>1</v>
      </c>
      <c r="H10" t="str">
        <f ca="1"/>
        <v>MultiLineString ((691654.5618258296744898 7569630.88936283066868782, 691636.54376462753862143 7569647.32852176204323769))</v>
      </c>
      <c r="I10">
        <f ca="1"/>
        <v>0.9</v>
      </c>
      <c r="J10">
        <f ca="1"/>
        <v>0.9</v>
      </c>
      <c r="K10">
        <f ca="1"/>
        <v>0</v>
      </c>
      <c r="L10">
        <f ca="1"/>
        <v>691636.54376462696</v>
      </c>
      <c r="M10">
        <f ca="1"/>
        <v>7569647.3285217602</v>
      </c>
      <c r="N10">
        <f ca="1"/>
        <v>353.093658447265</v>
      </c>
      <c r="O10">
        <f ca="1"/>
        <v>24.390499704189949</v>
      </c>
      <c r="P10">
        <f ca="1"/>
        <v>24.390499704189949</v>
      </c>
      <c r="Q10">
        <f ca="1"/>
        <v>18.018061202019453</v>
      </c>
      <c r="R10">
        <f ca="1"/>
        <v>-16.439158930443227</v>
      </c>
      <c r="S10">
        <f ca="1"/>
        <v>-0.43933105468698841</v>
      </c>
      <c r="T10" t="str">
        <f ca="1"/>
        <v>C</v>
      </c>
      <c r="U10" s="9">
        <f ca="1"/>
        <v>2.4E-2</v>
      </c>
      <c r="V10" s="7">
        <f ca="1"/>
        <v>90</v>
      </c>
      <c r="X10" t="str">
        <f ca="1"/>
        <v>C</v>
      </c>
      <c r="Z10" t="s">
        <v>4</v>
      </c>
      <c r="AA10">
        <f>MATCH(Z10,'1d_nwk-import'!$1:$1,0)</f>
        <v>16</v>
      </c>
      <c r="AC10" t="str">
        <f t="shared" ca="1" si="0"/>
        <v>'1d_nwk-import'!P:P</v>
      </c>
    </row>
    <row r="11" spans="1:29" x14ac:dyDescent="0.25">
      <c r="A11">
        <f ca="1"/>
        <v>4</v>
      </c>
      <c r="B11" t="str">
        <f ca="1"/>
        <v>R-10c</v>
      </c>
      <c r="C11" t="str">
        <f ca="1"/>
        <v>R-10c</v>
      </c>
      <c r="D11">
        <f ca="1"/>
        <v>0</v>
      </c>
      <c r="E11">
        <f ca="1"/>
        <v>353.093658447265</v>
      </c>
      <c r="F11">
        <f ca="1"/>
        <v>352.65432739257801</v>
      </c>
      <c r="G11">
        <f ca="1"/>
        <v>1</v>
      </c>
      <c r="H11" t="str">
        <f ca="1"/>
        <v>MultiLineString ((691654.5618258296744898 7569630.88936283066868782, 691636.54376462753862143 7569647.32852176204323769))</v>
      </c>
      <c r="I11">
        <f ca="1"/>
        <v>0.9</v>
      </c>
      <c r="J11">
        <f ca="1"/>
        <v>0.9</v>
      </c>
      <c r="K11">
        <f ca="1"/>
        <v>0</v>
      </c>
      <c r="L11">
        <f ca="1"/>
        <v>691654.56182582898</v>
      </c>
      <c r="M11">
        <f ca="1"/>
        <v>7569630.8893628297</v>
      </c>
      <c r="N11">
        <f ca="1"/>
        <v>352.65432739257801</v>
      </c>
      <c r="O11">
        <f ca="1"/>
        <v>24.390499704189949</v>
      </c>
      <c r="P11">
        <f ca="1"/>
        <v>24.390499704189949</v>
      </c>
      <c r="Q11">
        <f ca="1"/>
        <v>18.018061202019453</v>
      </c>
      <c r="R11">
        <f ca="1"/>
        <v>-16.439158930443227</v>
      </c>
      <c r="S11">
        <f ca="1"/>
        <v>-0.43933105468698841</v>
      </c>
      <c r="T11" t="str">
        <f ca="1"/>
        <v>C</v>
      </c>
      <c r="U11" s="9">
        <f ca="1"/>
        <v>2.4E-2</v>
      </c>
      <c r="V11" s="7">
        <f ca="1"/>
        <v>90</v>
      </c>
      <c r="X11" t="str">
        <f ca="1"/>
        <v>C</v>
      </c>
      <c r="Z11" t="s">
        <v>121</v>
      </c>
      <c r="AA11" t="e">
        <f>MATCH(Z11,'1d_nwk-import'!$1:$1,0)</f>
        <v>#N/A</v>
      </c>
      <c r="AC11" t="e">
        <f t="shared" si="0"/>
        <v>#N/A</v>
      </c>
    </row>
    <row r="12" spans="1:29" x14ac:dyDescent="0.25">
      <c r="A12">
        <f ca="1"/>
        <v>5</v>
      </c>
      <c r="B12" t="str">
        <f ca="1"/>
        <v>R-11</v>
      </c>
      <c r="C12" t="str">
        <f ca="1"/>
        <v>R-11</v>
      </c>
      <c r="D12">
        <f ca="1"/>
        <v>1</v>
      </c>
      <c r="E12">
        <f ca="1"/>
        <v>348.30090332031199</v>
      </c>
      <c r="F12">
        <f ca="1"/>
        <v>348.02838134765602</v>
      </c>
      <c r="G12">
        <f ca="1"/>
        <v>3</v>
      </c>
      <c r="H12" t="str">
        <f ca="1"/>
        <v>MultiLineString ((691909.32235097035299987 7570320.73034003842622042, 691880.06622066791169345 7570339.67716728243976831))</v>
      </c>
      <c r="I12">
        <f ca="1"/>
        <v>1.5</v>
      </c>
      <c r="J12">
        <f ca="1"/>
        <v>1.5</v>
      </c>
      <c r="K12">
        <f ca="1"/>
        <v>0</v>
      </c>
      <c r="L12">
        <f ca="1"/>
        <v>691880.06622066698</v>
      </c>
      <c r="M12">
        <f ca="1"/>
        <v>7570339.6771672796</v>
      </c>
      <c r="N12">
        <f ca="1"/>
        <v>348.30090332031199</v>
      </c>
      <c r="O12">
        <f ca="1"/>
        <v>34.855464752800593</v>
      </c>
      <c r="P12">
        <f ca="1"/>
        <v>34.855464752800593</v>
      </c>
      <c r="Q12">
        <f ca="1"/>
        <v>29.256130303023383</v>
      </c>
      <c r="R12">
        <f ca="1"/>
        <v>-18.946827249601483</v>
      </c>
      <c r="S12">
        <f ca="1"/>
        <v>-0.27252197265596578</v>
      </c>
      <c r="T12" t="str">
        <f ca="1"/>
        <v>C</v>
      </c>
      <c r="U12" s="9">
        <f ca="1"/>
        <v>2.4E-2</v>
      </c>
      <c r="V12" s="7">
        <f ca="1"/>
        <v>90</v>
      </c>
      <c r="X12" t="str">
        <f ca="1"/>
        <v>C</v>
      </c>
      <c r="Z12" t="s">
        <v>112</v>
      </c>
      <c r="AA12" t="e">
        <f>MATCH(Z12,'1d_nwk-import'!$1:$1,0)</f>
        <v>#N/A</v>
      </c>
      <c r="AB12" t="e">
        <f>_xlfn.CONCAT(ADDRESS(4,AA12,1,1,AB$4),":",ADDRESS($Z$3,AA12,1,1))</f>
        <v>#N/A</v>
      </c>
      <c r="AC12" t="e">
        <f t="shared" si="0"/>
        <v>#N/A</v>
      </c>
    </row>
    <row r="13" spans="1:29" x14ac:dyDescent="0.25">
      <c r="A13">
        <f ca="1"/>
        <v>5</v>
      </c>
      <c r="B13" t="str">
        <f ca="1"/>
        <v>R-11</v>
      </c>
      <c r="C13" t="str">
        <f ca="1"/>
        <v>R-11</v>
      </c>
      <c r="D13">
        <f ca="1"/>
        <v>0</v>
      </c>
      <c r="E13">
        <f ca="1"/>
        <v>348.30090332031199</v>
      </c>
      <c r="F13">
        <f ca="1"/>
        <v>348.02838134765602</v>
      </c>
      <c r="G13">
        <f ca="1"/>
        <v>3</v>
      </c>
      <c r="H13" t="str">
        <f ca="1"/>
        <v>MultiLineString ((691909.32235097035299987 7570320.73034003842622042, 691880.06622066791169345 7570339.67716728243976831))</v>
      </c>
      <c r="I13">
        <f ca="1"/>
        <v>1.5</v>
      </c>
      <c r="J13">
        <f ca="1"/>
        <v>1.5</v>
      </c>
      <c r="K13">
        <f ca="1"/>
        <v>0</v>
      </c>
      <c r="L13">
        <f ca="1"/>
        <v>691909.32235097</v>
      </c>
      <c r="M13">
        <f ca="1"/>
        <v>7570320.73034003</v>
      </c>
      <c r="N13">
        <f ca="1"/>
        <v>348.02838134765602</v>
      </c>
      <c r="O13">
        <f ca="1"/>
        <v>34.855464752800593</v>
      </c>
      <c r="P13">
        <f ca="1"/>
        <v>34.855464752800593</v>
      </c>
      <c r="Q13">
        <f ca="1"/>
        <v>29.256130303023383</v>
      </c>
      <c r="R13">
        <f ca="1"/>
        <v>-18.946827249601483</v>
      </c>
      <c r="S13">
        <f ca="1"/>
        <v>-0.27252197265596578</v>
      </c>
      <c r="T13" t="str">
        <f ca="1"/>
        <v>C</v>
      </c>
      <c r="U13" s="9">
        <f ca="1"/>
        <v>2.4E-2</v>
      </c>
      <c r="V13" s="7">
        <f ca="1"/>
        <v>90</v>
      </c>
      <c r="X13" t="str">
        <f ca="1"/>
        <v>C</v>
      </c>
      <c r="Z13" t="s">
        <v>113</v>
      </c>
      <c r="AA13" t="e">
        <f>MATCH(Z13,'1d_nwk-import'!$1:$1,0)</f>
        <v>#N/A</v>
      </c>
      <c r="AB13" t="e">
        <f>_xlfn.CONCAT(ADDRESS(4,AA13,1,1,AB$4),":",ADDRESS($Z$3,AA13,1,1))</f>
        <v>#N/A</v>
      </c>
      <c r="AC13" t="e">
        <f t="shared" si="0"/>
        <v>#N/A</v>
      </c>
    </row>
    <row r="14" spans="1:29" x14ac:dyDescent="0.25">
      <c r="A14">
        <f ca="1"/>
        <v>6</v>
      </c>
      <c r="B14" t="str">
        <f ca="1"/>
        <v>R-12</v>
      </c>
      <c r="C14" t="str">
        <f ca="1"/>
        <v>R-12</v>
      </c>
      <c r="D14">
        <f ca="1"/>
        <v>1</v>
      </c>
      <c r="E14">
        <f ca="1"/>
        <v>351.80154418945301</v>
      </c>
      <c r="F14">
        <f ca="1"/>
        <v>351.21353149414</v>
      </c>
      <c r="G14">
        <f ca="1"/>
        <v>2</v>
      </c>
      <c r="H14" t="str">
        <f ca="1"/>
        <v>MultiLineString ((692036.69809301919303834 7570740.82406918331980705, 692012.72198079596273601 7570764.29275045823305845))</v>
      </c>
      <c r="I14">
        <f ca="1"/>
        <v>0.9</v>
      </c>
      <c r="J14">
        <f ca="1"/>
        <v>0.9</v>
      </c>
      <c r="K14">
        <f ca="1"/>
        <v>0</v>
      </c>
      <c r="L14">
        <f ca="1"/>
        <v>692012.72198079503</v>
      </c>
      <c r="M14">
        <f ca="1"/>
        <v>7570764.2927504499</v>
      </c>
      <c r="N14">
        <f ca="1"/>
        <v>351.80154418945301</v>
      </c>
      <c r="O14">
        <f ca="1"/>
        <v>33.550453915548182</v>
      </c>
      <c r="P14">
        <f ca="1"/>
        <v>33.550453915548182</v>
      </c>
      <c r="Q14">
        <f ca="1"/>
        <v>23.976112223928794</v>
      </c>
      <c r="R14">
        <f ca="1"/>
        <v>-23.468681270256639</v>
      </c>
      <c r="S14">
        <f ca="1"/>
        <v>-0.58801269531301159</v>
      </c>
      <c r="T14" t="str">
        <f ca="1"/>
        <v>C</v>
      </c>
      <c r="U14" s="9">
        <f ca="1"/>
        <v>2.4E-2</v>
      </c>
      <c r="V14" s="7">
        <f ca="1"/>
        <v>90</v>
      </c>
      <c r="X14" t="str">
        <f ca="1"/>
        <v>C</v>
      </c>
      <c r="Z14" t="s">
        <v>36</v>
      </c>
      <c r="AA14">
        <f>MATCH(Z14,'1d_nwk-import'!$1:$1,0)</f>
        <v>4</v>
      </c>
      <c r="AC14" t="str">
        <f t="shared" ca="1" si="0"/>
        <v>'1d_nwk-import'!D:D</v>
      </c>
    </row>
    <row r="15" spans="1:29" x14ac:dyDescent="0.25">
      <c r="A15">
        <f ca="1"/>
        <v>6</v>
      </c>
      <c r="B15" t="str">
        <f ca="1"/>
        <v>R-12</v>
      </c>
      <c r="C15" t="str">
        <f ca="1"/>
        <v>R-12</v>
      </c>
      <c r="D15">
        <f ca="1"/>
        <v>0</v>
      </c>
      <c r="E15">
        <f ca="1"/>
        <v>351.80154418945301</v>
      </c>
      <c r="F15">
        <f ca="1"/>
        <v>351.21353149414</v>
      </c>
      <c r="G15">
        <f ca="1"/>
        <v>2</v>
      </c>
      <c r="H15" t="str">
        <f ca="1"/>
        <v>MultiLineString ((692036.69809301919303834 7570740.82406918331980705, 692012.72198079596273601 7570764.29275045823305845))</v>
      </c>
      <c r="I15">
        <f ca="1"/>
        <v>0.9</v>
      </c>
      <c r="J15">
        <f ca="1"/>
        <v>0.9</v>
      </c>
      <c r="K15">
        <f ca="1"/>
        <v>0</v>
      </c>
      <c r="L15">
        <f ca="1"/>
        <v>692036.69809301896</v>
      </c>
      <c r="M15">
        <f ca="1"/>
        <v>7570740.8240691796</v>
      </c>
      <c r="N15">
        <f ca="1"/>
        <v>351.21353149414</v>
      </c>
      <c r="O15">
        <f ca="1"/>
        <v>33.550453915548182</v>
      </c>
      <c r="P15">
        <f ca="1"/>
        <v>33.550453915548182</v>
      </c>
      <c r="Q15">
        <f ca="1"/>
        <v>23.976112223928794</v>
      </c>
      <c r="R15">
        <f ca="1"/>
        <v>-23.468681270256639</v>
      </c>
      <c r="S15">
        <f ca="1"/>
        <v>-0.58801269531301159</v>
      </c>
      <c r="T15" t="str">
        <f ca="1"/>
        <v>C</v>
      </c>
      <c r="U15" s="9">
        <f ca="1"/>
        <v>2.4E-2</v>
      </c>
      <c r="V15" s="7">
        <f ca="1"/>
        <v>90</v>
      </c>
      <c r="X15" t="str">
        <f ca="1"/>
        <v>C</v>
      </c>
      <c r="Z15" t="s">
        <v>84</v>
      </c>
      <c r="AA15">
        <f>MATCH(Z15,'1d_nwk-import'!$1:$1,0)</f>
        <v>17</v>
      </c>
      <c r="AC15" t="str">
        <f t="shared" ref="AC15" ca="1" si="1">_xlfn.CONCAT("'",AC$4,"'!",SUBSTITUTE(ADDRESS(1,AA15,4),"1",""),":",SUBSTITUTE(ADDRESS(1,AA15,4),"1",""))</f>
        <v>'1d_nwk-import'!Q:Q</v>
      </c>
    </row>
    <row r="16" spans="1:29" x14ac:dyDescent="0.25">
      <c r="A16">
        <f ca="1"/>
        <v>7</v>
      </c>
      <c r="B16" t="str">
        <f ca="1"/>
        <v>R-13</v>
      </c>
      <c r="C16" s="3" t="str">
        <f ca="1"/>
        <v>R-13</v>
      </c>
      <c r="D16">
        <f ca="1"/>
        <v>1</v>
      </c>
      <c r="E16">
        <f ca="1"/>
        <v>344.20489501953102</v>
      </c>
      <c r="F16">
        <f ca="1"/>
        <v>343.79400634765602</v>
      </c>
      <c r="G16">
        <f ca="1"/>
        <v>4</v>
      </c>
      <c r="H16" t="str">
        <f ca="1"/>
        <v>MultiLineString ((692161.01794817426707596 7571146.96061041299253702, 692109.38757610891479999 7571160.85003517102450132))</v>
      </c>
      <c r="I16">
        <f ca="1"/>
        <v>1.5</v>
      </c>
      <c r="J16">
        <f ca="1"/>
        <v>1.5</v>
      </c>
      <c r="K16">
        <f ca="1"/>
        <v>0</v>
      </c>
      <c r="L16">
        <f ca="1"/>
        <v>692109.38757610798</v>
      </c>
      <c r="M16">
        <f ca="1"/>
        <v>7571160.8500351701</v>
      </c>
      <c r="N16">
        <f ca="1"/>
        <v>344.20489501953102</v>
      </c>
      <c r="O16">
        <f ca="1"/>
        <v>53.465983950916012</v>
      </c>
      <c r="P16">
        <f ca="1"/>
        <v>53.465983950916012</v>
      </c>
      <c r="Q16">
        <f ca="1"/>
        <v>51.630372066050768</v>
      </c>
      <c r="R16">
        <f ca="1"/>
        <v>-13.889424759894609</v>
      </c>
      <c r="S16">
        <f ca="1"/>
        <v>-0.410888671875</v>
      </c>
      <c r="T16" t="str">
        <f ca="1"/>
        <v>C</v>
      </c>
      <c r="U16">
        <f ca="1"/>
        <v>2.4E-2</v>
      </c>
      <c r="V16" s="7">
        <f ca="1"/>
        <v>90</v>
      </c>
      <c r="X16" t="str">
        <f ca="1"/>
        <v>C</v>
      </c>
      <c r="Z16" t="s">
        <v>62</v>
      </c>
      <c r="AA16">
        <f>MATCH(Z16,'1d_nwk-import'!$1:$1,0)</f>
        <v>8</v>
      </c>
      <c r="AC16" t="str">
        <f t="shared" ref="AC16" ca="1" si="2">_xlfn.CONCAT("'",AC$4,"'!",SUBSTITUTE(ADDRESS(1,AA16,4),"1",""),":",SUBSTITUTE(ADDRESS(1,AA16,4),"1",""))</f>
        <v>'1d_nwk-import'!H:H</v>
      </c>
    </row>
    <row r="17" spans="1:29" x14ac:dyDescent="0.25">
      <c r="A17">
        <f ca="1"/>
        <v>7</v>
      </c>
      <c r="B17" t="str">
        <f ca="1"/>
        <v>R-13</v>
      </c>
      <c r="C17" s="3" t="str">
        <f ca="1"/>
        <v>R-13</v>
      </c>
      <c r="D17">
        <f ca="1"/>
        <v>0</v>
      </c>
      <c r="E17">
        <f ca="1"/>
        <v>344.20489501953102</v>
      </c>
      <c r="F17">
        <f ca="1"/>
        <v>343.79400634765602</v>
      </c>
      <c r="G17">
        <f ca="1"/>
        <v>4</v>
      </c>
      <c r="H17" t="str">
        <f ca="1"/>
        <v>MultiLineString ((692161.01794817426707596 7571146.96061041299253702, 692109.38757610891479999 7571160.85003517102450132))</v>
      </c>
      <c r="I17">
        <f ca="1"/>
        <v>1.5</v>
      </c>
      <c r="J17">
        <f ca="1"/>
        <v>1.5</v>
      </c>
      <c r="K17">
        <f ca="1"/>
        <v>0</v>
      </c>
      <c r="L17">
        <f ca="1"/>
        <v>692161.01794817403</v>
      </c>
      <c r="M17">
        <f ca="1"/>
        <v>7571146.9606104102</v>
      </c>
      <c r="N17">
        <f ca="1"/>
        <v>343.79400634765602</v>
      </c>
      <c r="O17">
        <f ca="1"/>
        <v>53.465983950916012</v>
      </c>
      <c r="P17">
        <f ca="1"/>
        <v>53.465983950916012</v>
      </c>
      <c r="Q17">
        <f ca="1"/>
        <v>51.630372066050768</v>
      </c>
      <c r="R17">
        <f ca="1"/>
        <v>-13.889424759894609</v>
      </c>
      <c r="S17">
        <f ca="1"/>
        <v>-0.410888671875</v>
      </c>
      <c r="T17" t="str">
        <f ca="1"/>
        <v>C</v>
      </c>
      <c r="U17">
        <f ca="1"/>
        <v>2.4E-2</v>
      </c>
      <c r="V17" s="7">
        <f ca="1"/>
        <v>90</v>
      </c>
      <c r="X17" t="str">
        <f ca="1"/>
        <v>C</v>
      </c>
      <c r="Z17" t="s">
        <v>258</v>
      </c>
      <c r="AA17">
        <f>MATCH(Z17,'1d_nwk-import'!$1:$1,0)</f>
        <v>1</v>
      </c>
      <c r="AC17" t="str">
        <f t="shared" ref="AC17" ca="1" si="3">_xlfn.CONCAT("'",AC$4,"'!",SUBSTITUTE(ADDRESS(1,AA17,4),"1",""),":",SUBSTITUTE(ADDRESS(1,AA17,4),"1",""))</f>
        <v>'1d_nwk-import'!A:A</v>
      </c>
    </row>
    <row r="18" spans="1:29" x14ac:dyDescent="0.25">
      <c r="A18">
        <f ca="1"/>
        <v>8</v>
      </c>
      <c r="B18" t="str">
        <f ca="1"/>
        <v>R-14</v>
      </c>
      <c r="C18" s="3" t="str">
        <f ca="1"/>
        <v>R-14</v>
      </c>
      <c r="D18">
        <f ca="1"/>
        <v>1</v>
      </c>
      <c r="E18">
        <f ca="1"/>
        <v>342.71350097656199</v>
      </c>
      <c r="F18">
        <f ca="1"/>
        <v>342.2919921875</v>
      </c>
      <c r="G18">
        <f ca="1"/>
        <v>4</v>
      </c>
      <c r="H18" t="str">
        <f ca="1"/>
        <v>MultiLineString ((692208.38501628290396184 7571615.61595487501472235, 692159.34616929991170764 7571613.57266958430409431))</v>
      </c>
      <c r="I18">
        <f ca="1"/>
        <v>1.5</v>
      </c>
      <c r="J18">
        <f ca="1"/>
        <v>1.5</v>
      </c>
      <c r="K18">
        <f ca="1"/>
        <v>0</v>
      </c>
      <c r="L18">
        <f ca="1"/>
        <v>692159.34616929898</v>
      </c>
      <c r="M18">
        <f ca="1"/>
        <v>7571613.5726695796</v>
      </c>
      <c r="N18">
        <f ca="1"/>
        <v>342.71350097656199</v>
      </c>
      <c r="O18">
        <f ca="1"/>
        <v>49.081396966677332</v>
      </c>
      <c r="P18">
        <f ca="1"/>
        <v>49.081396966677332</v>
      </c>
      <c r="Q18">
        <f ca="1"/>
        <v>49.038846982992254</v>
      </c>
      <c r="R18">
        <f ca="1"/>
        <v>2.043285290710628</v>
      </c>
      <c r="S18">
        <f ca="1"/>
        <v>-0.42150878906198841</v>
      </c>
      <c r="T18" t="str">
        <f ca="1"/>
        <v>C</v>
      </c>
      <c r="U18">
        <f ca="1"/>
        <v>2.4E-2</v>
      </c>
      <c r="V18" s="7">
        <f ca="1"/>
        <v>90</v>
      </c>
      <c r="X18" t="str">
        <f ca="1"/>
        <v>C</v>
      </c>
    </row>
    <row r="19" spans="1:29" x14ac:dyDescent="0.25">
      <c r="A19">
        <f ca="1"/>
        <v>8</v>
      </c>
      <c r="B19" t="str">
        <f ca="1"/>
        <v>R-14</v>
      </c>
      <c r="C19" s="3" t="str">
        <f ca="1"/>
        <v>R-14</v>
      </c>
      <c r="D19">
        <f ca="1"/>
        <v>0</v>
      </c>
      <c r="E19">
        <f ca="1"/>
        <v>342.71350097656199</v>
      </c>
      <c r="F19">
        <f ca="1"/>
        <v>342.2919921875</v>
      </c>
      <c r="G19">
        <f ca="1"/>
        <v>4</v>
      </c>
      <c r="H19" t="str">
        <f ca="1"/>
        <v>MultiLineString ((692208.38501628290396184 7571615.61595487501472235, 692159.34616929991170764 7571613.57266958430409431))</v>
      </c>
      <c r="I19">
        <f ca="1"/>
        <v>1.5</v>
      </c>
      <c r="J19">
        <f ca="1"/>
        <v>1.5</v>
      </c>
      <c r="K19">
        <f ca="1"/>
        <v>0</v>
      </c>
      <c r="L19">
        <f ca="1"/>
        <v>692208.38501628197</v>
      </c>
      <c r="M19">
        <f ca="1"/>
        <v>7571615.6159548704</v>
      </c>
      <c r="N19">
        <f ca="1"/>
        <v>342.2919921875</v>
      </c>
      <c r="O19">
        <f ca="1"/>
        <v>49.081396966677332</v>
      </c>
      <c r="P19">
        <f ca="1"/>
        <v>49.081396966677332</v>
      </c>
      <c r="Q19">
        <f ca="1"/>
        <v>49.038846982992254</v>
      </c>
      <c r="R19">
        <f ca="1"/>
        <v>2.043285290710628</v>
      </c>
      <c r="S19">
        <f ca="1"/>
        <v>-0.42150878906198841</v>
      </c>
      <c r="T19" t="str">
        <f ca="1"/>
        <v>C</v>
      </c>
      <c r="U19">
        <f ca="1"/>
        <v>2.4E-2</v>
      </c>
      <c r="V19" s="7">
        <f ca="1"/>
        <v>90</v>
      </c>
      <c r="X19" t="str">
        <f ca="1"/>
        <v>C</v>
      </c>
    </row>
    <row r="20" spans="1:29" x14ac:dyDescent="0.25">
      <c r="A20">
        <f ca="1"/>
        <v>9</v>
      </c>
      <c r="B20" t="str">
        <f ca="1"/>
        <v>R-14b</v>
      </c>
      <c r="C20" s="3" t="str">
        <f ca="1"/>
        <v>R-14b</v>
      </c>
      <c r="D20">
        <f ca="1"/>
        <v>1</v>
      </c>
      <c r="E20">
        <f ca="1"/>
        <v>346.56299999999999</v>
      </c>
      <c r="F20">
        <f ca="1"/>
        <v>345.32499999999999</v>
      </c>
      <c r="G20">
        <f ca="1"/>
        <v>1</v>
      </c>
      <c r="H20" t="str">
        <f ca="1"/>
        <v>MultiLineString ((692189.49452477414160967 7571443.62287487834692001, 692159.25583927519619465 7571463.08685634937137365))</v>
      </c>
      <c r="I20">
        <f ca="1"/>
        <v>0.9</v>
      </c>
      <c r="J20">
        <f ca="1"/>
        <v>0.9</v>
      </c>
      <c r="K20">
        <f ca="1"/>
        <v>0</v>
      </c>
      <c r="L20">
        <f ca="1"/>
        <v>692159.25583927496</v>
      </c>
      <c r="M20">
        <f ca="1"/>
        <v>7571463.0868563401</v>
      </c>
      <c r="N20">
        <f ca="1"/>
        <v>346.56299999999999</v>
      </c>
      <c r="O20">
        <f ca="1"/>
        <v>35.961433166370064</v>
      </c>
      <c r="P20">
        <f ca="1"/>
        <v>35.961433166370064</v>
      </c>
      <c r="Q20">
        <f ca="1"/>
        <v>30.23868549906183</v>
      </c>
      <c r="R20">
        <f ca="1"/>
        <v>-19.463981470093131</v>
      </c>
      <c r="S20">
        <f ca="1"/>
        <v>-1.2379999999999995</v>
      </c>
      <c r="T20" t="str">
        <f ca="1"/>
        <v>C</v>
      </c>
      <c r="U20">
        <f ca="1"/>
        <v>2.4E-2</v>
      </c>
      <c r="V20" s="7">
        <f ca="1"/>
        <v>90</v>
      </c>
      <c r="X20" t="str">
        <f ca="1"/>
        <v>C</v>
      </c>
      <c r="Z20" t="s">
        <v>215</v>
      </c>
      <c r="AA20">
        <f ca="1">COUNTA(_xlfn.ANCHORARRAY(B4))/2</f>
        <v>30</v>
      </c>
    </row>
    <row r="21" spans="1:29" x14ac:dyDescent="0.25">
      <c r="A21">
        <f ca="1"/>
        <v>9</v>
      </c>
      <c r="B21" t="str">
        <f ca="1"/>
        <v>R-14b</v>
      </c>
      <c r="C21" s="3" t="str">
        <f ca="1"/>
        <v>R-14b</v>
      </c>
      <c r="D21">
        <f ca="1"/>
        <v>0</v>
      </c>
      <c r="E21">
        <f ca="1"/>
        <v>346.56299999999999</v>
      </c>
      <c r="F21">
        <f ca="1"/>
        <v>345.32499999999999</v>
      </c>
      <c r="G21">
        <f ca="1"/>
        <v>1</v>
      </c>
      <c r="H21" t="str">
        <f ca="1"/>
        <v>MultiLineString ((692189.49452477414160967 7571443.62287487834692001, 692159.25583927519619465 7571463.08685634937137365))</v>
      </c>
      <c r="I21">
        <f ca="1"/>
        <v>0.9</v>
      </c>
      <c r="J21">
        <f ca="1"/>
        <v>0.9</v>
      </c>
      <c r="K21">
        <f ca="1"/>
        <v>0</v>
      </c>
      <c r="L21">
        <f ca="1"/>
        <v>692189.49452477403</v>
      </c>
      <c r="M21">
        <f ca="1"/>
        <v>7571443.62287487</v>
      </c>
      <c r="N21">
        <f ca="1"/>
        <v>345.32499999999999</v>
      </c>
      <c r="O21">
        <f ca="1"/>
        <v>35.961433166370064</v>
      </c>
      <c r="P21">
        <f ca="1"/>
        <v>35.961433166370064</v>
      </c>
      <c r="Q21">
        <f ca="1"/>
        <v>30.23868549906183</v>
      </c>
      <c r="R21">
        <f ca="1"/>
        <v>-19.463981470093131</v>
      </c>
      <c r="S21">
        <f ca="1"/>
        <v>-1.2379999999999995</v>
      </c>
      <c r="T21" t="str">
        <f ca="1"/>
        <v>C</v>
      </c>
      <c r="U21">
        <f ca="1"/>
        <v>2.4E-2</v>
      </c>
      <c r="V21" s="7">
        <f ca="1"/>
        <v>90</v>
      </c>
      <c r="X21" t="str">
        <f ca="1"/>
        <v>C</v>
      </c>
    </row>
    <row r="22" spans="1:29" x14ac:dyDescent="0.25">
      <c r="A22">
        <f ca="1"/>
        <v>10</v>
      </c>
      <c r="B22" t="str">
        <f ca="1"/>
        <v>R-15</v>
      </c>
      <c r="C22" s="3" t="str">
        <f ca="1"/>
        <v>R-15</v>
      </c>
      <c r="D22">
        <f ca="1"/>
        <v>1</v>
      </c>
      <c r="E22">
        <f ca="1"/>
        <v>344.97506713867102</v>
      </c>
      <c r="F22">
        <f ca="1"/>
        <v>344.48989868164</v>
      </c>
      <c r="G22">
        <f ca="1"/>
        <v>2</v>
      </c>
      <c r="H22" t="str">
        <f ca="1"/>
        <v>MultiLineString ((692207.45625024160835892 7571762.91824903339147568, 692168.81958292168565094 7571777.40699927881360054))</v>
      </c>
      <c r="I22">
        <f ca="1"/>
        <v>1.5</v>
      </c>
      <c r="J22">
        <f ca="1"/>
        <v>1.5</v>
      </c>
      <c r="K22">
        <f ca="1"/>
        <v>0</v>
      </c>
      <c r="L22">
        <f ca="1"/>
        <v>692168.81958292099</v>
      </c>
      <c r="M22">
        <f ca="1"/>
        <v>7571777.4069992704</v>
      </c>
      <c r="N22">
        <f ca="1"/>
        <v>344.97506713867102</v>
      </c>
      <c r="O22">
        <f ca="1"/>
        <v>41.263978784633238</v>
      </c>
      <c r="P22">
        <f ca="1"/>
        <v>41.263978784633238</v>
      </c>
      <c r="Q22">
        <f ca="1"/>
        <v>38.636667320039123</v>
      </c>
      <c r="R22">
        <f ca="1"/>
        <v>-14.488750240765512</v>
      </c>
      <c r="S22">
        <f ca="1"/>
        <v>-0.48516845703102263</v>
      </c>
      <c r="T22" t="str">
        <f ca="1"/>
        <v>C</v>
      </c>
      <c r="U22">
        <f ca="1"/>
        <v>2.4E-2</v>
      </c>
      <c r="V22" s="7">
        <f ca="1"/>
        <v>90</v>
      </c>
      <c r="X22" t="str">
        <f ca="1"/>
        <v>C</v>
      </c>
    </row>
    <row r="23" spans="1:29" x14ac:dyDescent="0.25">
      <c r="A23">
        <f ca="1"/>
        <v>10</v>
      </c>
      <c r="B23" t="str">
        <f ca="1"/>
        <v>R-15</v>
      </c>
      <c r="C23" s="3" t="str">
        <f ca="1"/>
        <v>R-15</v>
      </c>
      <c r="D23">
        <f ca="1"/>
        <v>0</v>
      </c>
      <c r="E23">
        <f ca="1"/>
        <v>344.97506713867102</v>
      </c>
      <c r="F23">
        <f ca="1"/>
        <v>344.48989868164</v>
      </c>
      <c r="G23">
        <f ca="1"/>
        <v>2</v>
      </c>
      <c r="H23" t="str">
        <f ca="1"/>
        <v>MultiLineString ((692207.45625024160835892 7571762.91824903339147568, 692168.81958292168565094 7571777.40699927881360054))</v>
      </c>
      <c r="I23">
        <f ca="1"/>
        <v>1.5</v>
      </c>
      <c r="J23">
        <f ca="1"/>
        <v>1.5</v>
      </c>
      <c r="K23">
        <f ca="1"/>
        <v>0</v>
      </c>
      <c r="L23">
        <f ca="1"/>
        <v>692207.45625024103</v>
      </c>
      <c r="M23">
        <f ca="1"/>
        <v>7571762.9182490297</v>
      </c>
      <c r="N23">
        <f ca="1"/>
        <v>344.48989868164</v>
      </c>
      <c r="O23">
        <f ca="1"/>
        <v>41.263978784633238</v>
      </c>
      <c r="P23">
        <f ca="1"/>
        <v>41.263978784633238</v>
      </c>
      <c r="Q23">
        <f ca="1"/>
        <v>38.636667320039123</v>
      </c>
      <c r="R23">
        <f ca="1"/>
        <v>-14.488750240765512</v>
      </c>
      <c r="S23">
        <f ca="1"/>
        <v>-0.48516845703102263</v>
      </c>
      <c r="T23" t="str">
        <f ca="1"/>
        <v>C</v>
      </c>
      <c r="U23">
        <f ca="1"/>
        <v>2.4E-2</v>
      </c>
      <c r="V23" s="7">
        <f ca="1"/>
        <v>90</v>
      </c>
      <c r="X23" t="str">
        <f ca="1"/>
        <v>C</v>
      </c>
    </row>
    <row r="24" spans="1:29" x14ac:dyDescent="0.25">
      <c r="A24">
        <f ca="1"/>
        <v>11</v>
      </c>
      <c r="B24" t="str">
        <f ca="1"/>
        <v>R-16</v>
      </c>
      <c r="C24" s="3" t="str">
        <f ca="1"/>
        <v>R-16</v>
      </c>
      <c r="D24">
        <f ca="1"/>
        <v>1</v>
      </c>
      <c r="E24">
        <f ca="1"/>
        <v>347.94793701171801</v>
      </c>
      <c r="F24">
        <f ca="1"/>
        <v>347.10491943359301</v>
      </c>
      <c r="G24">
        <f ca="1"/>
        <v>1</v>
      </c>
      <c r="H24" t="str">
        <f ca="1"/>
        <v>MultiLineString ((692226.58883069327566773 7572259.15794492140412331, 692181.91518410469871014 7572253.02808904834091663))</v>
      </c>
      <c r="I24">
        <f ca="1"/>
        <v>1.2</v>
      </c>
      <c r="J24">
        <f ca="1"/>
        <v>1.2</v>
      </c>
      <c r="K24">
        <f ca="1"/>
        <v>0</v>
      </c>
      <c r="L24">
        <f ca="1"/>
        <v>692181.915184104</v>
      </c>
      <c r="M24">
        <f ca="1"/>
        <v>7572253.02808904</v>
      </c>
      <c r="N24">
        <f ca="1"/>
        <v>347.94793701171801</v>
      </c>
      <c r="O24">
        <f ca="1"/>
        <v>45.09223694459093</v>
      </c>
      <c r="P24">
        <f ca="1"/>
        <v>45.09223694459093</v>
      </c>
      <c r="Q24">
        <f ca="1"/>
        <v>44.673646589042619</v>
      </c>
      <c r="R24">
        <f ca="1"/>
        <v>6.1298558795824647</v>
      </c>
      <c r="S24">
        <f ca="1"/>
        <v>-0.843017578125</v>
      </c>
      <c r="T24" t="str">
        <f ca="1"/>
        <v>C</v>
      </c>
      <c r="U24">
        <f ca="1"/>
        <v>2.4E-2</v>
      </c>
      <c r="V24" s="7">
        <f ca="1"/>
        <v>90</v>
      </c>
      <c r="X24" t="str">
        <f ca="1"/>
        <v>C</v>
      </c>
    </row>
    <row r="25" spans="1:29" x14ac:dyDescent="0.25">
      <c r="A25">
        <f ca="1"/>
        <v>11</v>
      </c>
      <c r="B25" t="str">
        <f ca="1"/>
        <v>R-16</v>
      </c>
      <c r="C25" s="3" t="str">
        <f ca="1"/>
        <v>R-16</v>
      </c>
      <c r="D25">
        <f ca="1"/>
        <v>0</v>
      </c>
      <c r="E25">
        <f ca="1"/>
        <v>347.94793701171801</v>
      </c>
      <c r="F25">
        <f ca="1"/>
        <v>347.10491943359301</v>
      </c>
      <c r="G25">
        <f ca="1"/>
        <v>1</v>
      </c>
      <c r="H25" t="str">
        <f ca="1"/>
        <v>MultiLineString ((692226.58883069327566773 7572259.15794492140412331, 692181.91518410469871014 7572253.02808904834091663))</v>
      </c>
      <c r="I25">
        <f ca="1"/>
        <v>1.2</v>
      </c>
      <c r="J25">
        <f ca="1"/>
        <v>1.2</v>
      </c>
      <c r="K25">
        <f ca="1"/>
        <v>0</v>
      </c>
      <c r="L25">
        <f ca="1"/>
        <v>692226.58883069304</v>
      </c>
      <c r="M25">
        <f ca="1"/>
        <v>7572259.1579449195</v>
      </c>
      <c r="N25">
        <f ca="1"/>
        <v>347.10491943359301</v>
      </c>
      <c r="O25">
        <f ca="1"/>
        <v>45.09223694459093</v>
      </c>
      <c r="P25">
        <f ca="1"/>
        <v>45.09223694459093</v>
      </c>
      <c r="Q25">
        <f ca="1"/>
        <v>44.673646589042619</v>
      </c>
      <c r="R25">
        <f ca="1"/>
        <v>6.1298558795824647</v>
      </c>
      <c r="S25">
        <f ca="1"/>
        <v>-0.843017578125</v>
      </c>
      <c r="T25" t="str">
        <f ca="1"/>
        <v>C</v>
      </c>
      <c r="U25">
        <f ca="1"/>
        <v>2.4E-2</v>
      </c>
      <c r="V25" s="7">
        <f ca="1"/>
        <v>90</v>
      </c>
      <c r="X25" t="str">
        <f ca="1"/>
        <v>C</v>
      </c>
    </row>
    <row r="26" spans="1:29" x14ac:dyDescent="0.25">
      <c r="A26">
        <f ca="1"/>
        <v>12</v>
      </c>
      <c r="B26" t="str">
        <f ca="1"/>
        <v>R-17</v>
      </c>
      <c r="C26" s="3" t="str">
        <f ca="1"/>
        <v>R-17</v>
      </c>
      <c r="D26">
        <f ca="1"/>
        <v>1</v>
      </c>
      <c r="E26">
        <f ca="1"/>
        <v>337.30044555664</v>
      </c>
      <c r="F26">
        <f ca="1"/>
        <v>337.15353393554602</v>
      </c>
      <c r="G26">
        <f ca="1"/>
        <v>2</v>
      </c>
      <c r="H26" t="str">
        <f ca="1"/>
        <v>MultiLineString ((692464.0743074647616595 7573334.20463777799159288, 692436.02557301614433527 7573348.69338802248239517))</v>
      </c>
      <c r="I26">
        <f ca="1"/>
        <v>1.5</v>
      </c>
      <c r="J26">
        <f ca="1"/>
        <v>1.5</v>
      </c>
      <c r="K26">
        <f ca="1"/>
        <v>0</v>
      </c>
      <c r="L26">
        <f ca="1"/>
        <v>692436.02557301603</v>
      </c>
      <c r="M26">
        <f ca="1"/>
        <v>7573348.6933880197</v>
      </c>
      <c r="N26">
        <f ca="1"/>
        <v>337.30044555664</v>
      </c>
      <c r="O26">
        <f ca="1"/>
        <v>31.569849349324194</v>
      </c>
      <c r="P26">
        <f ca="1"/>
        <v>31.569849349324194</v>
      </c>
      <c r="Q26">
        <f ca="1"/>
        <v>28.048734447918832</v>
      </c>
      <c r="R26">
        <f ca="1"/>
        <v>-14.488750250078738</v>
      </c>
      <c r="S26">
        <f ca="1"/>
        <v>-0.14691162109397737</v>
      </c>
      <c r="T26" t="str">
        <f ca="1"/>
        <v>C</v>
      </c>
      <c r="U26">
        <f ca="1"/>
        <v>2.4E-2</v>
      </c>
      <c r="V26" s="7">
        <f ca="1"/>
        <v>90</v>
      </c>
      <c r="X26" t="str">
        <f ca="1"/>
        <v>C</v>
      </c>
    </row>
    <row r="27" spans="1:29" x14ac:dyDescent="0.25">
      <c r="A27">
        <f ca="1"/>
        <v>12</v>
      </c>
      <c r="B27" t="str">
        <f ca="1"/>
        <v>R-17</v>
      </c>
      <c r="C27" s="3" t="str">
        <f ca="1"/>
        <v>R-17</v>
      </c>
      <c r="D27">
        <f ca="1"/>
        <v>0</v>
      </c>
      <c r="E27">
        <f ca="1"/>
        <v>337.30044555664</v>
      </c>
      <c r="F27">
        <f ca="1"/>
        <v>337.15353393554602</v>
      </c>
      <c r="G27">
        <f ca="1"/>
        <v>2</v>
      </c>
      <c r="H27" t="str">
        <f ca="1"/>
        <v>MultiLineString ((692464.0743074647616595 7573334.20463777799159288, 692436.02557301614433527 7573348.69338802248239517))</v>
      </c>
      <c r="I27">
        <f ca="1"/>
        <v>1.5</v>
      </c>
      <c r="J27">
        <f ca="1"/>
        <v>1.5</v>
      </c>
      <c r="K27">
        <f ca="1"/>
        <v>0</v>
      </c>
      <c r="L27">
        <f ca="1"/>
        <v>692464.07430746395</v>
      </c>
      <c r="M27">
        <f ca="1"/>
        <v>7573334.2046377696</v>
      </c>
      <c r="N27">
        <f ca="1"/>
        <v>337.15353393554602</v>
      </c>
      <c r="O27">
        <f ca="1"/>
        <v>31.569849349324194</v>
      </c>
      <c r="P27">
        <f ca="1"/>
        <v>31.569849349324194</v>
      </c>
      <c r="Q27">
        <f ca="1"/>
        <v>28.048734447918832</v>
      </c>
      <c r="R27">
        <f ca="1"/>
        <v>-14.488750250078738</v>
      </c>
      <c r="S27">
        <f ca="1"/>
        <v>-0.14691162109397737</v>
      </c>
      <c r="T27" t="str">
        <f ca="1"/>
        <v>C</v>
      </c>
      <c r="U27">
        <f ca="1"/>
        <v>2.4E-2</v>
      </c>
      <c r="V27" s="7">
        <f ca="1"/>
        <v>90</v>
      </c>
      <c r="X27" t="str">
        <f ca="1"/>
        <v>C</v>
      </c>
    </row>
    <row r="28" spans="1:29" x14ac:dyDescent="0.25">
      <c r="A28">
        <f ca="1"/>
        <v>13</v>
      </c>
      <c r="B28" t="str">
        <f ca="1"/>
        <v>R-17b</v>
      </c>
      <c r="C28" s="3" t="str">
        <f ca="1"/>
        <v>R-17b</v>
      </c>
      <c r="D28">
        <f ca="1"/>
        <v>1</v>
      </c>
      <c r="E28">
        <f ca="1"/>
        <v>337.62054443359301</v>
      </c>
      <c r="F28">
        <f ca="1"/>
        <v>336.73544311523398</v>
      </c>
      <c r="G28">
        <f ca="1"/>
        <v>1</v>
      </c>
      <c r="H28" t="str">
        <f ca="1"/>
        <v>MultiLineString ((692507.26192838733550161 7573519.77209283597767353, 692464.7244436937617138 7573513.27073054667562246))</v>
      </c>
      <c r="I28">
        <f ca="1"/>
        <v>0.9</v>
      </c>
      <c r="J28">
        <f ca="1"/>
        <v>0.9</v>
      </c>
      <c r="K28">
        <f ca="1"/>
        <v>0</v>
      </c>
      <c r="L28">
        <f ca="1"/>
        <v>692464.72444369295</v>
      </c>
      <c r="M28">
        <f ca="1"/>
        <v>7573513.2707305402</v>
      </c>
      <c r="N28">
        <f ca="1"/>
        <v>337.62054443359301</v>
      </c>
      <c r="O28">
        <f ca="1"/>
        <v>43.031445661568341</v>
      </c>
      <c r="P28">
        <f ca="1"/>
        <v>43.031445661568341</v>
      </c>
      <c r="Q28">
        <f ca="1"/>
        <v>42.537484694039449</v>
      </c>
      <c r="R28">
        <f ca="1"/>
        <v>6.5013622902333736</v>
      </c>
      <c r="S28">
        <f ca="1"/>
        <v>-0.88510131835903394</v>
      </c>
      <c r="T28" t="str">
        <f ca="1"/>
        <v>C</v>
      </c>
      <c r="U28">
        <f ca="1"/>
        <v>2.4E-2</v>
      </c>
      <c r="V28" s="7">
        <f ca="1"/>
        <v>90</v>
      </c>
      <c r="X28" t="str">
        <f ca="1"/>
        <v>C</v>
      </c>
    </row>
    <row r="29" spans="1:29" x14ac:dyDescent="0.25">
      <c r="A29">
        <f ca="1"/>
        <v>13</v>
      </c>
      <c r="B29" t="str">
        <f ca="1"/>
        <v>R-17b</v>
      </c>
      <c r="C29" s="3" t="str">
        <f ca="1"/>
        <v>R-17b</v>
      </c>
      <c r="D29">
        <f ca="1"/>
        <v>0</v>
      </c>
      <c r="E29">
        <f ca="1"/>
        <v>337.62054443359301</v>
      </c>
      <c r="F29">
        <f ca="1"/>
        <v>336.73544311523398</v>
      </c>
      <c r="G29">
        <f ca="1"/>
        <v>1</v>
      </c>
      <c r="H29" t="str">
        <f ca="1"/>
        <v>MultiLineString ((692507.26192838733550161 7573519.77209283597767353, 692464.7244436937617138 7573513.27073054667562246))</v>
      </c>
      <c r="I29">
        <f ca="1"/>
        <v>0.9</v>
      </c>
      <c r="J29">
        <f ca="1"/>
        <v>0.9</v>
      </c>
      <c r="K29">
        <f ca="1"/>
        <v>0</v>
      </c>
      <c r="L29">
        <f ca="1"/>
        <v>692507.26192838699</v>
      </c>
      <c r="M29">
        <f ca="1"/>
        <v>7573519.7720928304</v>
      </c>
      <c r="N29">
        <f ca="1"/>
        <v>336.73544311523398</v>
      </c>
      <c r="O29">
        <f ca="1"/>
        <v>43.031445661568341</v>
      </c>
      <c r="P29">
        <f ca="1"/>
        <v>43.031445661568341</v>
      </c>
      <c r="Q29">
        <f ca="1"/>
        <v>42.537484694039449</v>
      </c>
      <c r="R29">
        <f ca="1"/>
        <v>6.5013622902333736</v>
      </c>
      <c r="S29">
        <f ca="1"/>
        <v>-0.88510131835903394</v>
      </c>
      <c r="T29" t="str">
        <f ca="1"/>
        <v>C</v>
      </c>
      <c r="U29">
        <f ca="1"/>
        <v>2.4E-2</v>
      </c>
      <c r="V29" s="7">
        <f ca="1"/>
        <v>90</v>
      </c>
      <c r="X29" t="str">
        <f ca="1"/>
        <v>C</v>
      </c>
    </row>
    <row r="30" spans="1:29" x14ac:dyDescent="0.25">
      <c r="A30">
        <f ca="1"/>
        <v>14</v>
      </c>
      <c r="B30" t="str">
        <f ca="1"/>
        <v>R-18</v>
      </c>
      <c r="C30" s="3" t="str">
        <f ca="1"/>
        <v>R-18</v>
      </c>
      <c r="D30">
        <f ca="1"/>
        <v>1</v>
      </c>
      <c r="E30">
        <f ca="1"/>
        <v>326.11297607421801</v>
      </c>
      <c r="F30">
        <f ca="1"/>
        <v>326.04397583007801</v>
      </c>
      <c r="G30">
        <f ca="1"/>
        <v>5</v>
      </c>
      <c r="H30" t="str">
        <f ca="1"/>
        <v>MultiLineString ((693238.80200534139294177 7574681.5327999098226428, 693222.05678410606924444 7574705.88948534335941076))</v>
      </c>
      <c r="I30">
        <f ca="1"/>
        <v>1.2</v>
      </c>
      <c r="J30">
        <f ca="1"/>
        <v>1.2</v>
      </c>
      <c r="K30">
        <f ca="1"/>
        <v>0</v>
      </c>
      <c r="L30">
        <f ca="1"/>
        <v>693222.05678410595</v>
      </c>
      <c r="M30">
        <f ca="1"/>
        <v>7574705.8894853396</v>
      </c>
      <c r="N30">
        <f ca="1"/>
        <v>326.11297607421801</v>
      </c>
      <c r="O30">
        <f ca="1"/>
        <v>29.557580412442007</v>
      </c>
      <c r="P30">
        <f ca="1"/>
        <v>29.557580412442007</v>
      </c>
      <c r="Q30">
        <f ca="1"/>
        <v>16.745221235090867</v>
      </c>
      <c r="R30">
        <f ca="1"/>
        <v>-24.356685440056026</v>
      </c>
      <c r="S30">
        <f ca="1"/>
        <v>-6.9000244139999722E-2</v>
      </c>
      <c r="T30" t="str">
        <f ca="1"/>
        <v>C</v>
      </c>
      <c r="U30">
        <f ca="1"/>
        <v>2.4E-2</v>
      </c>
      <c r="V30" s="7">
        <f ca="1"/>
        <v>90</v>
      </c>
      <c r="X30" t="str">
        <f ca="1"/>
        <v>C</v>
      </c>
    </row>
    <row r="31" spans="1:29" x14ac:dyDescent="0.25">
      <c r="A31">
        <f ca="1"/>
        <v>14</v>
      </c>
      <c r="B31" t="str">
        <f ca="1"/>
        <v>R-18</v>
      </c>
      <c r="C31" s="3" t="str">
        <f ca="1"/>
        <v>R-18</v>
      </c>
      <c r="D31">
        <f ca="1"/>
        <v>0</v>
      </c>
      <c r="E31">
        <f ca="1"/>
        <v>326.11297607421801</v>
      </c>
      <c r="F31">
        <f ca="1"/>
        <v>326.04397583007801</v>
      </c>
      <c r="G31">
        <f ca="1"/>
        <v>5</v>
      </c>
      <c r="H31" t="str">
        <f ca="1"/>
        <v>MultiLineString ((693238.80200534139294177 7574681.5327999098226428, 693222.05678410606924444 7574705.88948534335941076))</v>
      </c>
      <c r="I31">
        <f ca="1"/>
        <v>1.2</v>
      </c>
      <c r="J31">
        <f ca="1"/>
        <v>1.2</v>
      </c>
      <c r="K31">
        <f ca="1"/>
        <v>0</v>
      </c>
      <c r="L31">
        <f ca="1"/>
        <v>693238.80200534104</v>
      </c>
      <c r="M31">
        <f ca="1"/>
        <v>7574681.5327998996</v>
      </c>
      <c r="N31">
        <f ca="1"/>
        <v>326.04397583007801</v>
      </c>
      <c r="O31">
        <f ca="1"/>
        <v>29.557580412442007</v>
      </c>
      <c r="P31">
        <f ca="1"/>
        <v>29.557580412442007</v>
      </c>
      <c r="Q31">
        <f ca="1"/>
        <v>16.745221235090867</v>
      </c>
      <c r="R31">
        <f ca="1"/>
        <v>-24.356685440056026</v>
      </c>
      <c r="S31">
        <f ca="1"/>
        <v>-6.9000244139999722E-2</v>
      </c>
      <c r="T31" t="str">
        <f ca="1"/>
        <v>C</v>
      </c>
      <c r="U31">
        <f ca="1"/>
        <v>2.4E-2</v>
      </c>
      <c r="V31" s="7">
        <f ca="1"/>
        <v>90</v>
      </c>
      <c r="X31" t="str">
        <f ca="1"/>
        <v>C</v>
      </c>
    </row>
    <row r="32" spans="1:29" x14ac:dyDescent="0.25">
      <c r="A32">
        <f ca="1"/>
        <v>15</v>
      </c>
      <c r="B32" t="str">
        <f ca="1"/>
        <v>R-18b</v>
      </c>
      <c r="C32" s="3" t="str">
        <f ca="1"/>
        <v>R-18b</v>
      </c>
      <c r="D32">
        <f ca="1"/>
        <v>1</v>
      </c>
      <c r="E32">
        <f ca="1"/>
        <v>328.62905883789</v>
      </c>
      <c r="F32">
        <f ca="1"/>
        <v>328.225982666015</v>
      </c>
      <c r="G32">
        <f ca="1"/>
        <v>1</v>
      </c>
      <c r="H32" t="str">
        <f ca="1"/>
        <v>MultiLineString ((692940.16620135749690235 7574340.58407421596348286, 692998.12120233732275665 7574357.67336937598884106))</v>
      </c>
      <c r="I32">
        <f ca="1"/>
        <v>1.2</v>
      </c>
      <c r="J32">
        <f ca="1"/>
        <v>1.2</v>
      </c>
      <c r="K32">
        <f ca="1"/>
        <v>0</v>
      </c>
      <c r="L32">
        <f ca="1"/>
        <v>692998.12120233697</v>
      </c>
      <c r="M32">
        <f ca="1"/>
        <v>7574357.6733693704</v>
      </c>
      <c r="N32">
        <f ca="1"/>
        <v>328.62905883789</v>
      </c>
      <c r="O32">
        <f ca="1"/>
        <v>60.422066727740912</v>
      </c>
      <c r="P32">
        <f ca="1"/>
        <v>60.422066727740912</v>
      </c>
      <c r="Q32">
        <f ca="1"/>
        <v>-57.95500097994227</v>
      </c>
      <c r="R32">
        <f ca="1"/>
        <v>-17.089295160025358</v>
      </c>
      <c r="S32">
        <f ca="1"/>
        <v>-0.403076171875</v>
      </c>
      <c r="T32" t="str">
        <f ca="1"/>
        <v>C</v>
      </c>
      <c r="U32">
        <f ca="1"/>
        <v>2.4E-2</v>
      </c>
      <c r="V32" s="7">
        <f ca="1"/>
        <v>90</v>
      </c>
      <c r="X32" t="str">
        <f ca="1"/>
        <v>C</v>
      </c>
    </row>
    <row r="33" spans="1:24" x14ac:dyDescent="0.25">
      <c r="A33">
        <f ca="1"/>
        <v>15</v>
      </c>
      <c r="B33" t="str">
        <f ca="1"/>
        <v>R-18b</v>
      </c>
      <c r="C33" s="3" t="str">
        <f ca="1"/>
        <v>R-18b</v>
      </c>
      <c r="D33">
        <f ca="1"/>
        <v>0</v>
      </c>
      <c r="E33">
        <f ca="1"/>
        <v>328.62905883789</v>
      </c>
      <c r="F33">
        <f ca="1"/>
        <v>328.225982666015</v>
      </c>
      <c r="G33">
        <f ca="1"/>
        <v>1</v>
      </c>
      <c r="H33" t="str">
        <f ca="1"/>
        <v>MultiLineString ((692940.16620135749690235 7574340.58407421596348286, 692998.12120233732275665 7574357.67336937598884106))</v>
      </c>
      <c r="I33">
        <f ca="1"/>
        <v>1.2</v>
      </c>
      <c r="J33">
        <f ca="1"/>
        <v>1.2</v>
      </c>
      <c r="K33">
        <f ca="1"/>
        <v>0</v>
      </c>
      <c r="L33">
        <f ca="1"/>
        <v>692940.16620135703</v>
      </c>
      <c r="M33">
        <f ca="1"/>
        <v>7574340.5840742104</v>
      </c>
      <c r="N33">
        <f ca="1"/>
        <v>328.225982666015</v>
      </c>
      <c r="O33">
        <f ca="1"/>
        <v>60.422066727740912</v>
      </c>
      <c r="P33">
        <f ca="1"/>
        <v>60.422066727740912</v>
      </c>
      <c r="Q33">
        <f ca="1"/>
        <v>-57.95500097994227</v>
      </c>
      <c r="R33">
        <f ca="1"/>
        <v>-17.089295160025358</v>
      </c>
      <c r="S33">
        <f ca="1"/>
        <v>-0.403076171875</v>
      </c>
      <c r="T33" t="str">
        <f ca="1"/>
        <v>C</v>
      </c>
      <c r="U33">
        <f ca="1"/>
        <v>2.4E-2</v>
      </c>
      <c r="V33" s="7">
        <f ca="1"/>
        <v>90</v>
      </c>
      <c r="X33" t="str">
        <f ca="1"/>
        <v>C</v>
      </c>
    </row>
    <row r="34" spans="1:24" x14ac:dyDescent="0.25">
      <c r="A34">
        <f ca="1"/>
        <v>16</v>
      </c>
      <c r="B34" t="str">
        <f ca="1"/>
        <v>R-19</v>
      </c>
      <c r="C34" s="3" t="str">
        <f ca="1"/>
        <v>R-19</v>
      </c>
      <c r="D34">
        <f ca="1"/>
        <v>1</v>
      </c>
      <c r="E34">
        <f ca="1"/>
        <v>326.90853881835898</v>
      </c>
      <c r="F34">
        <f ca="1"/>
        <v>326.70608520507801</v>
      </c>
      <c r="G34">
        <f ca="1"/>
        <v>4</v>
      </c>
      <c r="H34" t="str">
        <f ca="1"/>
        <v>MultiLineString ((693376.96487060177605599 7574871.00236042961478233, 693362.01173733605537564 7574889.67055786214768887))</v>
      </c>
      <c r="I34">
        <f ca="1"/>
        <v>0.9</v>
      </c>
      <c r="J34">
        <f ca="1"/>
        <v>0.9</v>
      </c>
      <c r="K34">
        <f ca="1"/>
        <v>0</v>
      </c>
      <c r="L34">
        <f ca="1"/>
        <v>693362.01173733606</v>
      </c>
      <c r="M34">
        <f ca="1"/>
        <v>7574889.6705578603</v>
      </c>
      <c r="N34">
        <f ca="1"/>
        <v>326.90853881835898</v>
      </c>
      <c r="O34">
        <f ca="1"/>
        <v>23.918565803497451</v>
      </c>
      <c r="P34">
        <f ca="1"/>
        <v>23.918565803497451</v>
      </c>
      <c r="Q34">
        <f ca="1"/>
        <v>14.953133264905773</v>
      </c>
      <c r="R34">
        <f ca="1"/>
        <v>-18.668197439983487</v>
      </c>
      <c r="S34">
        <f ca="1"/>
        <v>-0.20245361328096578</v>
      </c>
      <c r="T34" t="str">
        <f ca="1"/>
        <v>C</v>
      </c>
      <c r="U34">
        <f ca="1"/>
        <v>2.4E-2</v>
      </c>
      <c r="V34" s="7">
        <f ca="1"/>
        <v>90</v>
      </c>
      <c r="X34" t="str">
        <f ca="1"/>
        <v>C</v>
      </c>
    </row>
    <row r="35" spans="1:24" x14ac:dyDescent="0.25">
      <c r="A35">
        <f ca="1"/>
        <v>16</v>
      </c>
      <c r="B35" t="str">
        <f ca="1"/>
        <v>R-19</v>
      </c>
      <c r="C35" s="3" t="str">
        <f ca="1"/>
        <v>R-19</v>
      </c>
      <c r="D35">
        <f ca="1"/>
        <v>0</v>
      </c>
      <c r="E35">
        <f ca="1"/>
        <v>326.90853881835898</v>
      </c>
      <c r="F35">
        <f ca="1"/>
        <v>326.70608520507801</v>
      </c>
      <c r="G35">
        <f ca="1"/>
        <v>4</v>
      </c>
      <c r="H35" t="str">
        <f ca="1"/>
        <v>MultiLineString ((693376.96487060177605599 7574871.00236042961478233, 693362.01173733605537564 7574889.67055786214768887))</v>
      </c>
      <c r="I35">
        <f ca="1"/>
        <v>0.9</v>
      </c>
      <c r="J35">
        <f ca="1"/>
        <v>0.9</v>
      </c>
      <c r="K35">
        <f ca="1"/>
        <v>0</v>
      </c>
      <c r="L35">
        <f ca="1"/>
        <v>693376.96487060096</v>
      </c>
      <c r="M35">
        <f ca="1"/>
        <v>7574871.0023604203</v>
      </c>
      <c r="N35">
        <f ca="1"/>
        <v>326.70608520507801</v>
      </c>
      <c r="O35">
        <f ca="1"/>
        <v>23.918565803497451</v>
      </c>
      <c r="P35">
        <f ca="1"/>
        <v>23.918565803497451</v>
      </c>
      <c r="Q35">
        <f ca="1"/>
        <v>14.953133264905773</v>
      </c>
      <c r="R35">
        <f ca="1"/>
        <v>-18.668197439983487</v>
      </c>
      <c r="S35">
        <f ca="1"/>
        <v>-0.20245361328096578</v>
      </c>
      <c r="T35" t="str">
        <f ca="1"/>
        <v>C</v>
      </c>
      <c r="U35">
        <f ca="1"/>
        <v>2.4E-2</v>
      </c>
      <c r="V35" s="7">
        <f ca="1"/>
        <v>90</v>
      </c>
      <c r="X35" t="str">
        <f ca="1"/>
        <v>C</v>
      </c>
    </row>
    <row r="36" spans="1:24" x14ac:dyDescent="0.25">
      <c r="A36">
        <f ca="1"/>
        <v>17</v>
      </c>
      <c r="B36" t="str">
        <f ca="1"/>
        <v>R-2</v>
      </c>
      <c r="C36" s="3" t="str">
        <f ca="1"/>
        <v>R-2</v>
      </c>
      <c r="D36">
        <f ca="1"/>
        <v>1</v>
      </c>
      <c r="E36">
        <f ca="1"/>
        <v>381.20260620117102</v>
      </c>
      <c r="F36">
        <f ca="1"/>
        <v>379.03842163085898</v>
      </c>
      <c r="G36">
        <f ca="1"/>
        <v>1</v>
      </c>
      <c r="H36" t="str">
        <f ca="1"/>
        <v>MultiLineString ((687647.90818443091120571 7566198.13171269930899143, 687639.36691419442649931 7566249.71658932324498892))</v>
      </c>
      <c r="I36">
        <f ca="1"/>
        <v>1.5</v>
      </c>
      <c r="J36">
        <f ca="1"/>
        <v>1.5</v>
      </c>
      <c r="K36">
        <f ca="1"/>
        <v>0</v>
      </c>
      <c r="L36">
        <f ca="1"/>
        <v>687639.36691419396</v>
      </c>
      <c r="M36">
        <f ca="1"/>
        <v>7566249.7165893205</v>
      </c>
      <c r="N36">
        <f ca="1"/>
        <v>381.20260620117102</v>
      </c>
      <c r="O36">
        <f ca="1"/>
        <v>52.287214443150383</v>
      </c>
      <c r="P36">
        <f ca="1"/>
        <v>52.287214443150383</v>
      </c>
      <c r="Q36">
        <f ca="1"/>
        <v>8.5412702360190451</v>
      </c>
      <c r="R36">
        <f ca="1"/>
        <v>-51.584876630455256</v>
      </c>
      <c r="S36">
        <f ca="1"/>
        <v>-2.1641845703120453</v>
      </c>
      <c r="T36" t="str">
        <f ca="1"/>
        <v>C</v>
      </c>
      <c r="U36">
        <f ca="1"/>
        <v>2.4E-2</v>
      </c>
      <c r="V36" s="7">
        <f ca="1"/>
        <v>90</v>
      </c>
      <c r="X36" t="str">
        <f ca="1"/>
        <v>C</v>
      </c>
    </row>
    <row r="37" spans="1:24" x14ac:dyDescent="0.25">
      <c r="A37">
        <f ca="1"/>
        <v>17</v>
      </c>
      <c r="B37" t="str">
        <f ca="1"/>
        <v>R-2</v>
      </c>
      <c r="C37" s="3" t="str">
        <f ca="1"/>
        <v>R-2</v>
      </c>
      <c r="D37">
        <f ca="1"/>
        <v>0</v>
      </c>
      <c r="E37">
        <f ca="1"/>
        <v>381.20260620117102</v>
      </c>
      <c r="F37">
        <f ca="1"/>
        <v>379.03842163085898</v>
      </c>
      <c r="G37">
        <f ca="1"/>
        <v>1</v>
      </c>
      <c r="H37" t="str">
        <f ca="1"/>
        <v>MultiLineString ((687647.90818443091120571 7566198.13171269930899143, 687639.36691419442649931 7566249.71658932324498892))</v>
      </c>
      <c r="I37">
        <f ca="1"/>
        <v>1.5</v>
      </c>
      <c r="J37">
        <f ca="1"/>
        <v>1.5</v>
      </c>
      <c r="K37">
        <f ca="1"/>
        <v>0</v>
      </c>
      <c r="L37">
        <f ca="1"/>
        <v>687647.90818442998</v>
      </c>
      <c r="M37">
        <f ca="1"/>
        <v>7566198.13171269</v>
      </c>
      <c r="N37">
        <f ca="1"/>
        <v>379.03842163085898</v>
      </c>
      <c r="O37">
        <f ca="1"/>
        <v>52.287214443150383</v>
      </c>
      <c r="P37">
        <f ca="1"/>
        <v>52.287214443150383</v>
      </c>
      <c r="Q37">
        <f ca="1"/>
        <v>8.5412702360190451</v>
      </c>
      <c r="R37">
        <f ca="1"/>
        <v>-51.584876630455256</v>
      </c>
      <c r="S37">
        <f ca="1"/>
        <v>-2.1641845703120453</v>
      </c>
      <c r="T37" t="str">
        <f ca="1"/>
        <v>C</v>
      </c>
      <c r="U37">
        <f ca="1"/>
        <v>2.4E-2</v>
      </c>
      <c r="V37" s="7">
        <f ca="1"/>
        <v>90</v>
      </c>
      <c r="X37" t="str">
        <f ca="1"/>
        <v>C</v>
      </c>
    </row>
    <row r="38" spans="1:24" x14ac:dyDescent="0.25">
      <c r="A38">
        <f ca="1"/>
        <v>18</v>
      </c>
      <c r="B38" t="str">
        <f ca="1"/>
        <v>R-20</v>
      </c>
      <c r="C38" s="3" t="str">
        <f ca="1"/>
        <v>R-20</v>
      </c>
      <c r="D38">
        <f ca="1"/>
        <v>1</v>
      </c>
      <c r="E38">
        <f ca="1"/>
        <v>315.327</v>
      </c>
      <c r="F38">
        <f ca="1"/>
        <v>315.01</v>
      </c>
      <c r="G38">
        <f ca="1"/>
        <v>12</v>
      </c>
      <c r="H38" t="str">
        <f ca="1"/>
        <v>MultiLineString ((694752.0485145403072238 7576884.1145584462210536, 694747.08053479238878936 7576921.1605200907215476))</v>
      </c>
      <c r="I38">
        <f ca="1"/>
        <v>1.5</v>
      </c>
      <c r="J38">
        <f ca="1"/>
        <v>1.5</v>
      </c>
      <c r="K38">
        <f ca="1"/>
        <v>0</v>
      </c>
      <c r="L38">
        <f ca="1"/>
        <v>694747.08053479204</v>
      </c>
      <c r="M38">
        <f ca="1"/>
        <v>7576921.1605200898</v>
      </c>
      <c r="N38">
        <f ca="1"/>
        <v>315.327</v>
      </c>
      <c r="O38">
        <f ca="1"/>
        <v>37.377588169323474</v>
      </c>
      <c r="P38">
        <f ca="1"/>
        <v>37.377588169323474</v>
      </c>
      <c r="Q38">
        <f ca="1"/>
        <v>4.9679797479184344</v>
      </c>
      <c r="R38">
        <f ca="1"/>
        <v>-37.045961650088429</v>
      </c>
      <c r="S38">
        <f ca="1"/>
        <v>-0.31700000000000728</v>
      </c>
      <c r="T38" t="str">
        <f ca="1"/>
        <v>C</v>
      </c>
      <c r="U38">
        <f ca="1"/>
        <v>2.4E-2</v>
      </c>
      <c r="V38" s="7">
        <f ca="1"/>
        <v>90</v>
      </c>
      <c r="X38" t="str">
        <f ca="1"/>
        <v>C</v>
      </c>
    </row>
    <row r="39" spans="1:24" x14ac:dyDescent="0.25">
      <c r="A39">
        <f ca="1"/>
        <v>18</v>
      </c>
      <c r="B39" t="str">
        <f ca="1"/>
        <v>R-20</v>
      </c>
      <c r="C39" s="3" t="str">
        <f ca="1"/>
        <v>R-20</v>
      </c>
      <c r="D39">
        <f ca="1"/>
        <v>0</v>
      </c>
      <c r="E39">
        <f ca="1"/>
        <v>315.327</v>
      </c>
      <c r="F39">
        <f ca="1"/>
        <v>315.01</v>
      </c>
      <c r="G39">
        <f ca="1"/>
        <v>12</v>
      </c>
      <c r="H39" t="str">
        <f ca="1"/>
        <v>MultiLineString ((694752.0485145403072238 7576884.1145584462210536, 694747.08053479238878936 7576921.1605200907215476))</v>
      </c>
      <c r="I39">
        <f ca="1"/>
        <v>1.5</v>
      </c>
      <c r="J39">
        <f ca="1"/>
        <v>1.5</v>
      </c>
      <c r="K39">
        <f ca="1"/>
        <v>0</v>
      </c>
      <c r="L39">
        <f ca="1"/>
        <v>694752.04851453996</v>
      </c>
      <c r="M39">
        <f ca="1"/>
        <v>7576884.1145584397</v>
      </c>
      <c r="N39">
        <f ca="1"/>
        <v>315.01</v>
      </c>
      <c r="O39">
        <f ca="1"/>
        <v>37.377588169323474</v>
      </c>
      <c r="P39">
        <f ca="1"/>
        <v>37.377588169323474</v>
      </c>
      <c r="Q39">
        <f ca="1"/>
        <v>4.9679797479184344</v>
      </c>
      <c r="R39">
        <f ca="1"/>
        <v>-37.045961650088429</v>
      </c>
      <c r="S39">
        <f ca="1"/>
        <v>-0.31700000000000728</v>
      </c>
      <c r="T39" t="str">
        <f ca="1"/>
        <v>C</v>
      </c>
      <c r="U39">
        <f ca="1"/>
        <v>2.4E-2</v>
      </c>
      <c r="V39" s="7">
        <f ca="1"/>
        <v>90</v>
      </c>
      <c r="X39" t="str">
        <f ca="1"/>
        <v>C</v>
      </c>
    </row>
    <row r="40" spans="1:24" x14ac:dyDescent="0.25">
      <c r="A40">
        <f ca="1"/>
        <v>19</v>
      </c>
      <c r="B40" t="str">
        <f ca="1"/>
        <v>R-21</v>
      </c>
      <c r="C40" s="3" t="str">
        <f ca="1"/>
        <v>R-21</v>
      </c>
      <c r="D40">
        <f ca="1"/>
        <v>1</v>
      </c>
      <c r="E40">
        <f ca="1"/>
        <v>316.81463623046801</v>
      </c>
      <c r="F40">
        <f ca="1"/>
        <v>316.600006103515</v>
      </c>
      <c r="G40">
        <f ca="1"/>
        <v>4</v>
      </c>
      <c r="H40" t="str">
        <f ca="1"/>
        <v>MultiLineString ((695655.97098285146057606 7577759.65050221607089043, 695630.15128690202254802 7577795.31511820387095213))</v>
      </c>
      <c r="I40">
        <f ca="1"/>
        <v>1.5</v>
      </c>
      <c r="J40">
        <f ca="1"/>
        <v>1.5</v>
      </c>
      <c r="K40">
        <f ca="1"/>
        <v>0</v>
      </c>
      <c r="L40">
        <f ca="1"/>
        <v>695630.15128690202</v>
      </c>
      <c r="M40">
        <f ca="1"/>
        <v>7577795.3151182001</v>
      </c>
      <c r="N40">
        <f ca="1"/>
        <v>316.81463623046801</v>
      </c>
      <c r="O40">
        <f ca="1"/>
        <v>44.029780065927149</v>
      </c>
      <c r="P40">
        <f ca="1"/>
        <v>44.029780065927149</v>
      </c>
      <c r="Q40">
        <f ca="1"/>
        <v>25.819695948972367</v>
      </c>
      <c r="R40">
        <f ca="1"/>
        <v>-35.664615990594029</v>
      </c>
      <c r="S40">
        <f ca="1"/>
        <v>-0.21463012695301131</v>
      </c>
      <c r="T40" t="str">
        <f ca="1"/>
        <v>C</v>
      </c>
      <c r="U40">
        <f ca="1"/>
        <v>2.4E-2</v>
      </c>
      <c r="V40" s="7">
        <f ca="1"/>
        <v>90</v>
      </c>
      <c r="X40" t="str">
        <f ca="1"/>
        <v>C</v>
      </c>
    </row>
    <row r="41" spans="1:24" x14ac:dyDescent="0.25">
      <c r="A41">
        <f ca="1"/>
        <v>19</v>
      </c>
      <c r="B41" t="str">
        <f ca="1"/>
        <v>R-21</v>
      </c>
      <c r="C41" s="3" t="str">
        <f ca="1"/>
        <v>R-21</v>
      </c>
      <c r="D41">
        <f ca="1"/>
        <v>0</v>
      </c>
      <c r="E41">
        <f ca="1"/>
        <v>316.81463623046801</v>
      </c>
      <c r="F41">
        <f ca="1"/>
        <v>316.600006103515</v>
      </c>
      <c r="G41">
        <f ca="1"/>
        <v>4</v>
      </c>
      <c r="H41" t="str">
        <f ca="1"/>
        <v>MultiLineString ((695655.97098285146057606 7577759.65050221607089043, 695630.15128690202254802 7577795.31511820387095213))</v>
      </c>
      <c r="I41">
        <f ca="1"/>
        <v>1.5</v>
      </c>
      <c r="J41">
        <f ca="1"/>
        <v>1.5</v>
      </c>
      <c r="K41">
        <f ca="1"/>
        <v>0</v>
      </c>
      <c r="L41">
        <f ca="1"/>
        <v>695655.97098285099</v>
      </c>
      <c r="M41">
        <f ca="1"/>
        <v>7577759.6505022096</v>
      </c>
      <c r="N41">
        <f ca="1"/>
        <v>316.600006103515</v>
      </c>
      <c r="O41">
        <f ca="1"/>
        <v>44.029780065927149</v>
      </c>
      <c r="P41">
        <f ca="1"/>
        <v>44.029780065927149</v>
      </c>
      <c r="Q41">
        <f ca="1"/>
        <v>25.819695948972367</v>
      </c>
      <c r="R41">
        <f ca="1"/>
        <v>-35.664615990594029</v>
      </c>
      <c r="S41">
        <f ca="1"/>
        <v>-0.21463012695301131</v>
      </c>
      <c r="T41" t="str">
        <f ca="1"/>
        <v>C</v>
      </c>
      <c r="U41">
        <f ca="1"/>
        <v>2.4E-2</v>
      </c>
      <c r="V41" s="7">
        <f ca="1"/>
        <v>90</v>
      </c>
      <c r="X41" t="str">
        <f ca="1"/>
        <v>C</v>
      </c>
    </row>
    <row r="42" spans="1:24" x14ac:dyDescent="0.25">
      <c r="A42">
        <f ca="1"/>
        <v>20</v>
      </c>
      <c r="B42" t="str">
        <f ca="1"/>
        <v>R-22</v>
      </c>
      <c r="C42" s="3" t="str">
        <f ca="1"/>
        <v>R-22</v>
      </c>
      <c r="D42">
        <f ca="1"/>
        <v>1</v>
      </c>
      <c r="E42">
        <f ca="1"/>
        <v>322.864654541015</v>
      </c>
      <c r="F42">
        <f ca="1"/>
        <v>322.106842041015</v>
      </c>
      <c r="G42">
        <f ca="1"/>
        <v>2</v>
      </c>
      <c r="H42" t="str">
        <f ca="1"/>
        <v>MultiLineString ((696091.00499661697540432 7577899.89417445752769709, 696089.80277840339113027 7577931.24743920471519232))</v>
      </c>
      <c r="I42">
        <f ca="1"/>
        <v>1.2</v>
      </c>
      <c r="J42">
        <f ca="1"/>
        <v>1.2</v>
      </c>
      <c r="K42">
        <f ca="1"/>
        <v>0</v>
      </c>
      <c r="L42">
        <f ca="1"/>
        <v>696089.80277840304</v>
      </c>
      <c r="M42">
        <f ca="1"/>
        <v>7577931.2474392001</v>
      </c>
      <c r="N42">
        <f ca="1"/>
        <v>322.864654541015</v>
      </c>
      <c r="O42">
        <f ca="1"/>
        <v>31.37630537705331</v>
      </c>
      <c r="P42">
        <f ca="1"/>
        <v>31.37630537705331</v>
      </c>
      <c r="Q42">
        <f ca="1"/>
        <v>1.2022182130021974</v>
      </c>
      <c r="R42">
        <f ca="1"/>
        <v>-31.353264749981463</v>
      </c>
      <c r="S42">
        <f ca="1"/>
        <v>-0.7578125</v>
      </c>
      <c r="T42" t="str">
        <f ca="1"/>
        <v>C</v>
      </c>
      <c r="U42">
        <f ca="1"/>
        <v>2.4E-2</v>
      </c>
      <c r="V42" s="7">
        <f ca="1"/>
        <v>90</v>
      </c>
      <c r="X42" t="str">
        <f ca="1"/>
        <v>C</v>
      </c>
    </row>
    <row r="43" spans="1:24" x14ac:dyDescent="0.25">
      <c r="A43">
        <f ca="1"/>
        <v>20</v>
      </c>
      <c r="B43" t="str">
        <f ca="1"/>
        <v>R-22</v>
      </c>
      <c r="C43" s="3" t="str">
        <f ca="1"/>
        <v>R-22</v>
      </c>
      <c r="D43">
        <f ca="1"/>
        <v>0</v>
      </c>
      <c r="E43">
        <f ca="1"/>
        <v>322.864654541015</v>
      </c>
      <c r="F43">
        <f ca="1"/>
        <v>322.106842041015</v>
      </c>
      <c r="G43">
        <f ca="1"/>
        <v>2</v>
      </c>
      <c r="H43" t="str">
        <f ca="1"/>
        <v>MultiLineString ((696091.00499661697540432 7577899.89417445752769709, 696089.80277840339113027 7577931.24743920471519232))</v>
      </c>
      <c r="I43">
        <f ca="1"/>
        <v>1.2</v>
      </c>
      <c r="J43">
        <f ca="1"/>
        <v>1.2</v>
      </c>
      <c r="K43">
        <f ca="1"/>
        <v>0</v>
      </c>
      <c r="L43">
        <f ca="1"/>
        <v>696091.00499661604</v>
      </c>
      <c r="M43">
        <f ca="1"/>
        <v>7577899.8941744501</v>
      </c>
      <c r="N43">
        <f ca="1"/>
        <v>322.106842041015</v>
      </c>
      <c r="O43">
        <f ca="1"/>
        <v>31.37630537705331</v>
      </c>
      <c r="P43">
        <f ca="1"/>
        <v>31.37630537705331</v>
      </c>
      <c r="Q43">
        <f ca="1"/>
        <v>1.2022182130021974</v>
      </c>
      <c r="R43">
        <f ca="1"/>
        <v>-31.353264749981463</v>
      </c>
      <c r="S43">
        <f ca="1"/>
        <v>-0.7578125</v>
      </c>
      <c r="T43" t="str">
        <f ca="1"/>
        <v>C</v>
      </c>
      <c r="U43">
        <f ca="1"/>
        <v>2.4E-2</v>
      </c>
      <c r="V43" s="7">
        <f ca="1"/>
        <v>90</v>
      </c>
      <c r="X43" t="str">
        <f ca="1"/>
        <v>C</v>
      </c>
    </row>
    <row r="44" spans="1:24" x14ac:dyDescent="0.25">
      <c r="A44">
        <f ca="1"/>
        <v>21</v>
      </c>
      <c r="B44" t="str">
        <f ca="1"/>
        <v>R-3</v>
      </c>
      <c r="C44" s="3" t="str">
        <f ca="1"/>
        <v>R-3</v>
      </c>
      <c r="D44">
        <f ca="1"/>
        <v>1</v>
      </c>
      <c r="E44">
        <f ca="1"/>
        <v>375.83660888671801</v>
      </c>
      <c r="F44">
        <f ca="1"/>
        <v>379.22119140625</v>
      </c>
      <c r="G44">
        <f ca="1"/>
        <v>2</v>
      </c>
      <c r="H44" t="str">
        <f ca="1"/>
        <v>MultiLineString ((687971.95803359965793788 7566446.15060707088559866, 687955.61175127199385315 7566504.66286767460405827))</v>
      </c>
      <c r="I44">
        <f ca="1"/>
        <v>1.5</v>
      </c>
      <c r="J44">
        <f ca="1"/>
        <v>1.5</v>
      </c>
      <c r="K44">
        <f ca="1"/>
        <v>0</v>
      </c>
      <c r="L44">
        <f ca="1"/>
        <v>687955.61175127095</v>
      </c>
      <c r="M44">
        <f ca="1"/>
        <v>7566504.6628676699</v>
      </c>
      <c r="N44">
        <f ca="1"/>
        <v>375.83660888671801</v>
      </c>
      <c r="O44">
        <f ca="1"/>
        <v>60.752659089694454</v>
      </c>
      <c r="P44">
        <f ca="1"/>
        <v>60.752659089694454</v>
      </c>
      <c r="Q44">
        <f ca="1"/>
        <v>16.346282328013331</v>
      </c>
      <c r="R44">
        <f ca="1"/>
        <v>-58.512260599993169</v>
      </c>
      <c r="S44">
        <f ca="1"/>
        <v>3.384582519531989</v>
      </c>
      <c r="T44" t="str">
        <f ca="1"/>
        <v>C</v>
      </c>
      <c r="U44">
        <f ca="1"/>
        <v>2.4E-2</v>
      </c>
      <c r="V44" s="7">
        <f ca="1"/>
        <v>90</v>
      </c>
      <c r="X44" t="str">
        <f ca="1"/>
        <v>C</v>
      </c>
    </row>
    <row r="45" spans="1:24" x14ac:dyDescent="0.25">
      <c r="A45">
        <f ca="1"/>
        <v>21</v>
      </c>
      <c r="B45" t="str">
        <f ca="1"/>
        <v>R-3</v>
      </c>
      <c r="C45" s="3" t="str">
        <f ca="1"/>
        <v>R-3</v>
      </c>
      <c r="D45">
        <f ca="1"/>
        <v>0</v>
      </c>
      <c r="E45">
        <f ca="1"/>
        <v>375.83660888671801</v>
      </c>
      <c r="F45">
        <f ca="1"/>
        <v>379.22119140625</v>
      </c>
      <c r="G45">
        <f ca="1"/>
        <v>2</v>
      </c>
      <c r="H45" t="str">
        <f ca="1"/>
        <v>MultiLineString ((687971.95803359965793788 7566446.15060707088559866, 687955.61175127199385315 7566504.66286767460405827))</v>
      </c>
      <c r="I45">
        <f ca="1"/>
        <v>1.5</v>
      </c>
      <c r="J45">
        <f ca="1"/>
        <v>1.5</v>
      </c>
      <c r="K45">
        <f ca="1"/>
        <v>0</v>
      </c>
      <c r="L45">
        <f ca="1"/>
        <v>687971.95803359896</v>
      </c>
      <c r="M45">
        <f ca="1"/>
        <v>7566446.15060707</v>
      </c>
      <c r="N45">
        <f ca="1"/>
        <v>379.22119140625</v>
      </c>
      <c r="O45">
        <f ca="1"/>
        <v>60.752659089694454</v>
      </c>
      <c r="P45">
        <f ca="1"/>
        <v>60.752659089694454</v>
      </c>
      <c r="Q45">
        <f ca="1"/>
        <v>16.346282328013331</v>
      </c>
      <c r="R45">
        <f ca="1"/>
        <v>-58.512260599993169</v>
      </c>
      <c r="S45">
        <f ca="1"/>
        <v>3.384582519531989</v>
      </c>
      <c r="T45" t="str">
        <f ca="1"/>
        <v>C</v>
      </c>
      <c r="U45">
        <f ca="1"/>
        <v>2.4E-2</v>
      </c>
      <c r="V45" s="7">
        <f ca="1"/>
        <v>90</v>
      </c>
      <c r="X45" t="str">
        <f ca="1"/>
        <v>C</v>
      </c>
    </row>
    <row r="46" spans="1:24" x14ac:dyDescent="0.25">
      <c r="A46">
        <f ca="1"/>
        <v>22</v>
      </c>
      <c r="B46" t="str">
        <f ca="1"/>
        <v>R-4</v>
      </c>
      <c r="C46" s="3" t="str">
        <f ca="1"/>
        <v>R-4</v>
      </c>
      <c r="D46">
        <f ca="1"/>
        <v>1</v>
      </c>
      <c r="E46">
        <f ca="1"/>
        <v>364.83699999999999</v>
      </c>
      <c r="F46">
        <f ca="1"/>
        <v>364.75</v>
      </c>
      <c r="G46">
        <f ca="1"/>
        <v>1</v>
      </c>
      <c r="H46" t="str">
        <f ca="1"/>
        <v>MultiLineString ((688863.53434349712915719 7566883.80460810009390116, 688881.62753190065268427 7566950.32748960889875889))</v>
      </c>
      <c r="I46">
        <f ca="1"/>
        <v>1.5</v>
      </c>
      <c r="J46">
        <f ca="1"/>
        <v>1.5</v>
      </c>
      <c r="K46">
        <f ca="1"/>
        <v>0</v>
      </c>
      <c r="L46">
        <f ca="1"/>
        <v>688881.62753189995</v>
      </c>
      <c r="M46">
        <f ca="1"/>
        <v>7566950.3274895996</v>
      </c>
      <c r="N46">
        <f ca="1"/>
        <v>364.83699999999999</v>
      </c>
      <c r="O46">
        <f ca="1"/>
        <v>68.939518634668033</v>
      </c>
      <c r="P46">
        <f ca="1"/>
        <v>68.939518634668033</v>
      </c>
      <c r="Q46">
        <f ca="1"/>
        <v>-18.09318840294145</v>
      </c>
      <c r="R46">
        <f ca="1"/>
        <v>-66.522881499491632</v>
      </c>
      <c r="S46">
        <f ca="1"/>
        <v>-8.6999999999989086E-2</v>
      </c>
      <c r="T46" t="str">
        <f ca="1"/>
        <v>C</v>
      </c>
      <c r="U46">
        <f ca="1"/>
        <v>2.4E-2</v>
      </c>
      <c r="V46" s="7">
        <f ca="1"/>
        <v>90</v>
      </c>
      <c r="X46" t="str">
        <f ca="1"/>
        <v>C</v>
      </c>
    </row>
    <row r="47" spans="1:24" x14ac:dyDescent="0.25">
      <c r="A47">
        <f ca="1"/>
        <v>22</v>
      </c>
      <c r="B47" t="str">
        <f ca="1"/>
        <v>R-4</v>
      </c>
      <c r="C47" s="3" t="str">
        <f ca="1"/>
        <v>R-4</v>
      </c>
      <c r="D47">
        <f ca="1"/>
        <v>0</v>
      </c>
      <c r="E47">
        <f ca="1"/>
        <v>364.83699999999999</v>
      </c>
      <c r="F47">
        <f ca="1"/>
        <v>364.75</v>
      </c>
      <c r="G47">
        <f ca="1"/>
        <v>1</v>
      </c>
      <c r="H47" t="str">
        <f ca="1"/>
        <v>MultiLineString ((688863.53434349712915719 7566883.80460810009390116, 688881.62753190065268427 7566950.32748960889875889))</v>
      </c>
      <c r="I47">
        <f ca="1"/>
        <v>1.5</v>
      </c>
      <c r="J47">
        <f ca="1"/>
        <v>1.5</v>
      </c>
      <c r="K47">
        <f ca="1"/>
        <v>0</v>
      </c>
      <c r="L47">
        <f ca="1"/>
        <v>688863.53434349701</v>
      </c>
      <c r="M47">
        <f ca="1"/>
        <v>7566883.8046081001</v>
      </c>
      <c r="N47">
        <f ca="1"/>
        <v>364.75</v>
      </c>
      <c r="O47">
        <f ca="1"/>
        <v>68.939518634668033</v>
      </c>
      <c r="P47">
        <f ca="1"/>
        <v>68.939518634668033</v>
      </c>
      <c r="Q47">
        <f ca="1"/>
        <v>-18.09318840294145</v>
      </c>
      <c r="R47">
        <f ca="1"/>
        <v>-66.522881499491632</v>
      </c>
      <c r="S47">
        <f ca="1"/>
        <v>-8.6999999999989086E-2</v>
      </c>
      <c r="T47" t="str">
        <f ca="1"/>
        <v>C</v>
      </c>
      <c r="U47">
        <f ca="1"/>
        <v>2.4E-2</v>
      </c>
      <c r="V47" s="7">
        <f ca="1"/>
        <v>90</v>
      </c>
      <c r="X47" t="str">
        <f ca="1"/>
        <v>C</v>
      </c>
    </row>
    <row r="48" spans="1:24" x14ac:dyDescent="0.25">
      <c r="A48">
        <f ca="1"/>
        <v>23</v>
      </c>
      <c r="B48" t="str">
        <f ca="1"/>
        <v>R-5</v>
      </c>
      <c r="C48" s="3" t="str">
        <f ca="1"/>
        <v>R-5</v>
      </c>
      <c r="D48">
        <f ca="1"/>
        <v>1</v>
      </c>
      <c r="E48">
        <f ca="1"/>
        <v>363.65560913085898</v>
      </c>
      <c r="F48">
        <f ca="1"/>
        <v>363.08898925781199</v>
      </c>
      <c r="G48">
        <f ca="1"/>
        <v>1</v>
      </c>
      <c r="H48" t="str">
        <f ca="1"/>
        <v>MultiLineString ((689064.92991105315741152 7566962.08014303725212812, 689051.27705024543683976 7567000.71681035682559013))</v>
      </c>
      <c r="I48">
        <f ca="1"/>
        <v>1.5</v>
      </c>
      <c r="J48">
        <f ca="1"/>
        <v>1.5</v>
      </c>
      <c r="K48">
        <f ca="1"/>
        <v>0</v>
      </c>
      <c r="L48">
        <f ca="1"/>
        <v>689051.27705024497</v>
      </c>
      <c r="M48">
        <f ca="1"/>
        <v>7567000.7168103503</v>
      </c>
      <c r="N48">
        <f ca="1"/>
        <v>363.65560913085898</v>
      </c>
      <c r="O48">
        <f ca="1"/>
        <v>40.977953461341762</v>
      </c>
      <c r="P48">
        <f ca="1"/>
        <v>40.977953461341762</v>
      </c>
      <c r="Q48">
        <f ca="1"/>
        <v>13.652860808069818</v>
      </c>
      <c r="R48">
        <f ca="1"/>
        <v>-38.636667320504785</v>
      </c>
      <c r="S48">
        <f ca="1"/>
        <v>-0.56661987304698869</v>
      </c>
      <c r="T48" t="str">
        <f ca="1"/>
        <v>C</v>
      </c>
      <c r="U48">
        <f ca="1"/>
        <v>2.4E-2</v>
      </c>
      <c r="V48" s="7">
        <f ca="1"/>
        <v>90</v>
      </c>
      <c r="X48" t="str">
        <f ca="1"/>
        <v>C</v>
      </c>
    </row>
    <row r="49" spans="1:24" x14ac:dyDescent="0.25">
      <c r="A49">
        <f ca="1"/>
        <v>23</v>
      </c>
      <c r="B49" t="str">
        <f ca="1"/>
        <v>R-5</v>
      </c>
      <c r="C49" s="3" t="str">
        <f ca="1"/>
        <v>R-5</v>
      </c>
      <c r="D49">
        <f ca="1"/>
        <v>0</v>
      </c>
      <c r="E49">
        <f ca="1"/>
        <v>363.65560913085898</v>
      </c>
      <c r="F49">
        <f ca="1"/>
        <v>363.08898925781199</v>
      </c>
      <c r="G49">
        <f ca="1"/>
        <v>1</v>
      </c>
      <c r="H49" t="str">
        <f ca="1"/>
        <v>MultiLineString ((689064.92991105315741152 7566962.08014303725212812, 689051.27705024543683976 7567000.71681035682559013))</v>
      </c>
      <c r="I49">
        <f ca="1"/>
        <v>1.5</v>
      </c>
      <c r="J49">
        <f ca="1"/>
        <v>1.5</v>
      </c>
      <c r="K49">
        <f ca="1"/>
        <v>0</v>
      </c>
      <c r="L49">
        <f ca="1"/>
        <v>689064.92991105304</v>
      </c>
      <c r="M49">
        <f ca="1"/>
        <v>7566962.0801430298</v>
      </c>
      <c r="N49">
        <f ca="1"/>
        <v>363.08898925781199</v>
      </c>
      <c r="O49">
        <f ca="1"/>
        <v>40.977953461341762</v>
      </c>
      <c r="P49">
        <f ca="1"/>
        <v>40.977953461341762</v>
      </c>
      <c r="Q49">
        <f ca="1"/>
        <v>13.652860808069818</v>
      </c>
      <c r="R49">
        <f ca="1"/>
        <v>-38.636667320504785</v>
      </c>
      <c r="S49">
        <f ca="1"/>
        <v>-0.56661987304698869</v>
      </c>
      <c r="T49" t="str">
        <f ca="1"/>
        <v>C</v>
      </c>
      <c r="U49">
        <f ca="1"/>
        <v>2.4E-2</v>
      </c>
      <c r="V49" s="7">
        <f ca="1"/>
        <v>90</v>
      </c>
      <c r="X49" t="str">
        <f ca="1"/>
        <v>C</v>
      </c>
    </row>
    <row r="50" spans="1:24" x14ac:dyDescent="0.25">
      <c r="A50">
        <f ca="1"/>
        <v>24</v>
      </c>
      <c r="B50" t="str">
        <f ca="1"/>
        <v>R-6</v>
      </c>
      <c r="C50" s="3" t="str">
        <f ca="1"/>
        <v>R-6</v>
      </c>
      <c r="D50">
        <f ca="1"/>
        <v>1</v>
      </c>
      <c r="E50">
        <f ca="1"/>
        <v>353.18801879882801</v>
      </c>
      <c r="F50">
        <f ca="1"/>
        <v>352.41442871093699</v>
      </c>
      <c r="G50">
        <f ca="1"/>
        <v>14</v>
      </c>
      <c r="H50" t="str">
        <f ca="1"/>
        <v>MultiLineString ((689871.65609456459060311 7567415.68947762716561556, 689840.85410076985135674 7567442.52291673887521029))</v>
      </c>
      <c r="I50">
        <f ca="1"/>
        <v>1.5</v>
      </c>
      <c r="J50">
        <f ca="1"/>
        <v>1.5</v>
      </c>
      <c r="K50">
        <f ca="1"/>
        <v>0</v>
      </c>
      <c r="L50">
        <f ca="1"/>
        <v>689840.85410076904</v>
      </c>
      <c r="M50">
        <f ca="1"/>
        <v>7567442.5229167296</v>
      </c>
      <c r="N50">
        <f ca="1"/>
        <v>353.18801879882801</v>
      </c>
      <c r="O50">
        <f ca="1"/>
        <v>40.8509030035734</v>
      </c>
      <c r="P50">
        <f ca="1"/>
        <v>40.8509030035734</v>
      </c>
      <c r="Q50">
        <f ca="1"/>
        <v>30.801993794972077</v>
      </c>
      <c r="R50">
        <f ca="1"/>
        <v>-26.83343910984695</v>
      </c>
      <c r="S50">
        <f ca="1"/>
        <v>-0.7735900878910229</v>
      </c>
      <c r="T50" t="str">
        <f ca="1"/>
        <v>C</v>
      </c>
      <c r="U50">
        <f ca="1"/>
        <v>2.4E-2</v>
      </c>
      <c r="V50" s="7">
        <f ca="1"/>
        <v>90</v>
      </c>
      <c r="X50" t="str">
        <f ca="1"/>
        <v>C</v>
      </c>
    </row>
    <row r="51" spans="1:24" x14ac:dyDescent="0.25">
      <c r="A51">
        <f ca="1"/>
        <v>24</v>
      </c>
      <c r="B51" t="str">
        <f ca="1"/>
        <v>R-6</v>
      </c>
      <c r="C51" s="3" t="str">
        <f ca="1"/>
        <v>R-6</v>
      </c>
      <c r="D51">
        <f ca="1"/>
        <v>0</v>
      </c>
      <c r="E51">
        <f ca="1"/>
        <v>353.18801879882801</v>
      </c>
      <c r="F51">
        <f ca="1"/>
        <v>352.41442871093699</v>
      </c>
      <c r="G51">
        <f ca="1"/>
        <v>14</v>
      </c>
      <c r="H51" t="str">
        <f ca="1"/>
        <v>MultiLineString ((689871.65609456459060311 7567415.68947762716561556, 689840.85410076985135674 7567442.52291673887521029))</v>
      </c>
      <c r="I51">
        <f ca="1"/>
        <v>1.5</v>
      </c>
      <c r="J51">
        <f ca="1"/>
        <v>1.5</v>
      </c>
      <c r="K51">
        <f ca="1"/>
        <v>0</v>
      </c>
      <c r="L51">
        <f ca="1"/>
        <v>689871.65609456401</v>
      </c>
      <c r="M51">
        <f ca="1"/>
        <v>7567415.6894776197</v>
      </c>
      <c r="N51">
        <f ca="1"/>
        <v>352.41442871093699</v>
      </c>
      <c r="O51">
        <f ca="1"/>
        <v>40.8509030035734</v>
      </c>
      <c r="P51">
        <f ca="1"/>
        <v>40.8509030035734</v>
      </c>
      <c r="Q51">
        <f ca="1"/>
        <v>30.801993794972077</v>
      </c>
      <c r="R51">
        <f ca="1"/>
        <v>-26.83343910984695</v>
      </c>
      <c r="S51">
        <f ca="1"/>
        <v>-0.7735900878910229</v>
      </c>
      <c r="T51" t="str">
        <f ca="1"/>
        <v>C</v>
      </c>
      <c r="U51">
        <f ca="1"/>
        <v>2.4E-2</v>
      </c>
      <c r="V51" s="7">
        <f ca="1"/>
        <v>90</v>
      </c>
      <c r="X51" t="str">
        <f ca="1"/>
        <v>C</v>
      </c>
    </row>
    <row r="52" spans="1:24" x14ac:dyDescent="0.25">
      <c r="A52">
        <f ca="1"/>
        <v>25</v>
      </c>
      <c r="B52" t="str">
        <f ca="1"/>
        <v>R-6b</v>
      </c>
      <c r="C52" s="3" t="str">
        <f ca="1"/>
        <v>R-6b</v>
      </c>
      <c r="D52">
        <f ca="1"/>
        <v>1</v>
      </c>
      <c r="E52">
        <f ca="1"/>
        <v>356.22253417968699</v>
      </c>
      <c r="F52">
        <f ca="1"/>
        <v>355.70806884765602</v>
      </c>
      <c r="G52">
        <f ca="1"/>
        <v>1</v>
      </c>
      <c r="H52" t="str">
        <f ca="1"/>
        <v>MultiLineString ((689632.59171552222687751 7567167.98757440131157637, 689634.17061779252253473 7567222.69189423695206642))</v>
      </c>
      <c r="I52">
        <f ca="1"/>
        <v>1.5</v>
      </c>
      <c r="J52">
        <f ca="1"/>
        <v>1.5</v>
      </c>
      <c r="K52">
        <f ca="1"/>
        <v>0</v>
      </c>
      <c r="L52">
        <f ca="1"/>
        <v>689634.17061779206</v>
      </c>
      <c r="M52">
        <f ca="1"/>
        <v>7567222.6918942304</v>
      </c>
      <c r="N52">
        <f ca="1"/>
        <v>356.22253417968699</v>
      </c>
      <c r="O52">
        <f ca="1"/>
        <v>54.727100603330804</v>
      </c>
      <c r="P52">
        <f ca="1"/>
        <v>54.727100603330804</v>
      </c>
      <c r="Q52">
        <f ca="1"/>
        <v>-1.5789022700628266</v>
      </c>
      <c r="R52">
        <f ca="1"/>
        <v>-54.704319830052555</v>
      </c>
      <c r="S52">
        <f ca="1"/>
        <v>-0.51446533203096578</v>
      </c>
      <c r="T52" t="str">
        <f ca="1"/>
        <v>C</v>
      </c>
      <c r="U52">
        <f ca="1"/>
        <v>2.4E-2</v>
      </c>
      <c r="V52" s="7">
        <f ca="1"/>
        <v>90</v>
      </c>
      <c r="X52" t="str">
        <f ca="1"/>
        <v>C</v>
      </c>
    </row>
    <row r="53" spans="1:24" x14ac:dyDescent="0.25">
      <c r="A53">
        <f ca="1"/>
        <v>25</v>
      </c>
      <c r="B53" t="str">
        <f ca="1"/>
        <v>R-6b</v>
      </c>
      <c r="C53" s="3" t="str">
        <f ca="1"/>
        <v>R-6b</v>
      </c>
      <c r="D53">
        <f ca="1"/>
        <v>0</v>
      </c>
      <c r="E53">
        <f ca="1"/>
        <v>356.22253417968699</v>
      </c>
      <c r="F53">
        <f ca="1"/>
        <v>355.70806884765602</v>
      </c>
      <c r="G53">
        <f ca="1"/>
        <v>1</v>
      </c>
      <c r="H53" t="str">
        <f ca="1"/>
        <v>MultiLineString ((689632.59171552222687751 7567167.98757440131157637, 689634.17061779252253473 7567222.69189423695206642))</v>
      </c>
      <c r="I53">
        <f ca="1"/>
        <v>1.5</v>
      </c>
      <c r="J53">
        <f ca="1"/>
        <v>1.5</v>
      </c>
      <c r="K53">
        <f ca="1"/>
        <v>0</v>
      </c>
      <c r="L53">
        <f ca="1"/>
        <v>689632.59171552199</v>
      </c>
      <c r="M53">
        <f ca="1"/>
        <v>7567167.9875744004</v>
      </c>
      <c r="N53">
        <f ca="1"/>
        <v>355.70806884765602</v>
      </c>
      <c r="O53">
        <f ca="1"/>
        <v>54.727100603330804</v>
      </c>
      <c r="P53">
        <f ca="1"/>
        <v>54.727100603330804</v>
      </c>
      <c r="Q53">
        <f ca="1"/>
        <v>-1.5789022700628266</v>
      </c>
      <c r="R53">
        <f ca="1"/>
        <v>-54.704319830052555</v>
      </c>
      <c r="S53">
        <f ca="1"/>
        <v>-0.51446533203096578</v>
      </c>
      <c r="T53" t="str">
        <f ca="1"/>
        <v>C</v>
      </c>
      <c r="U53">
        <f ca="1"/>
        <v>2.4E-2</v>
      </c>
      <c r="V53" s="7">
        <f ca="1"/>
        <v>90</v>
      </c>
      <c r="X53" t="str">
        <f ca="1"/>
        <v>C</v>
      </c>
    </row>
    <row r="54" spans="1:24" x14ac:dyDescent="0.25">
      <c r="A54">
        <f ca="1"/>
        <v>26</v>
      </c>
      <c r="B54" t="str">
        <f ca="1"/>
        <v>R-7</v>
      </c>
      <c r="C54" s="3" t="str">
        <f ca="1"/>
        <v>R-7</v>
      </c>
      <c r="D54">
        <f ca="1"/>
        <v>1</v>
      </c>
      <c r="E54">
        <f ca="1"/>
        <v>352.16900634765602</v>
      </c>
      <c r="F54">
        <f ca="1"/>
        <v>351.81900024414</v>
      </c>
      <c r="G54">
        <f ca="1"/>
        <v>2</v>
      </c>
      <c r="H54" t="str">
        <f ca="1"/>
        <v>MultiLineString ((690763.55012406688183546 7568491.29343010578304529, 690743.11727115733083338 7568514.69833434745669365))</v>
      </c>
      <c r="I54">
        <f ca="1"/>
        <v>1.2</v>
      </c>
      <c r="J54">
        <f ca="1"/>
        <v>1.2</v>
      </c>
      <c r="K54">
        <f ca="1"/>
        <v>0</v>
      </c>
      <c r="L54">
        <f ca="1"/>
        <v>690743.11727115698</v>
      </c>
      <c r="M54">
        <f ca="1"/>
        <v>7568514.69833434</v>
      </c>
      <c r="N54">
        <f ca="1"/>
        <v>352.16900634765602</v>
      </c>
      <c r="O54">
        <f ca="1"/>
        <v>31.069132921185343</v>
      </c>
      <c r="P54">
        <f ca="1"/>
        <v>31.069132921185343</v>
      </c>
      <c r="Q54">
        <f ca="1"/>
        <v>20.432852908968925</v>
      </c>
      <c r="R54">
        <f ca="1"/>
        <v>-23.404904239811003</v>
      </c>
      <c r="S54">
        <f ca="1"/>
        <v>-0.3500061035160229</v>
      </c>
      <c r="T54" t="str">
        <f ca="1"/>
        <v>C</v>
      </c>
      <c r="U54">
        <f ca="1"/>
        <v>2.4E-2</v>
      </c>
      <c r="V54" s="7">
        <f ca="1"/>
        <v>90</v>
      </c>
      <c r="X54" t="str">
        <f ca="1"/>
        <v>C</v>
      </c>
    </row>
    <row r="55" spans="1:24" x14ac:dyDescent="0.25">
      <c r="A55">
        <f ca="1"/>
        <v>26</v>
      </c>
      <c r="B55" t="str">
        <f ca="1"/>
        <v>R-7</v>
      </c>
      <c r="C55" s="3" t="str">
        <f ca="1"/>
        <v>R-7</v>
      </c>
      <c r="D55">
        <f ca="1"/>
        <v>0</v>
      </c>
      <c r="E55">
        <f ca="1"/>
        <v>352.16900634765602</v>
      </c>
      <c r="F55">
        <f ca="1"/>
        <v>351.81900024414</v>
      </c>
      <c r="G55">
        <f ca="1"/>
        <v>2</v>
      </c>
      <c r="H55" t="str">
        <f ca="1"/>
        <v>MultiLineString ((690763.55012406688183546 7568491.29343010578304529, 690743.11727115733083338 7568514.69833434745669365))</v>
      </c>
      <c r="I55">
        <f ca="1"/>
        <v>1.2</v>
      </c>
      <c r="J55">
        <f ca="1"/>
        <v>1.2</v>
      </c>
      <c r="K55">
        <f ca="1"/>
        <v>0</v>
      </c>
      <c r="L55">
        <f ca="1"/>
        <v>690763.55012406595</v>
      </c>
      <c r="M55">
        <f ca="1"/>
        <v>7568491.2934301002</v>
      </c>
      <c r="N55">
        <f ca="1"/>
        <v>351.81900024414</v>
      </c>
      <c r="O55">
        <f ca="1"/>
        <v>31.069132921185343</v>
      </c>
      <c r="P55">
        <f ca="1"/>
        <v>31.069132921185343</v>
      </c>
      <c r="Q55">
        <f ca="1"/>
        <v>20.432852908968925</v>
      </c>
      <c r="R55">
        <f ca="1"/>
        <v>-23.404904239811003</v>
      </c>
      <c r="S55">
        <f ca="1"/>
        <v>-0.3500061035160229</v>
      </c>
      <c r="T55" t="str">
        <f ca="1"/>
        <v>C</v>
      </c>
      <c r="U55">
        <f ca="1"/>
        <v>2.4E-2</v>
      </c>
      <c r="V55" s="7">
        <f ca="1"/>
        <v>90</v>
      </c>
      <c r="X55" t="str">
        <f ca="1"/>
        <v>C</v>
      </c>
    </row>
    <row r="56" spans="1:24" x14ac:dyDescent="0.25">
      <c r="A56">
        <f ca="1"/>
        <v>27</v>
      </c>
      <c r="B56" t="str">
        <f ca="1"/>
        <v>R-7b</v>
      </c>
      <c r="C56" s="3" t="str">
        <f ca="1"/>
        <v>R-7b</v>
      </c>
      <c r="D56">
        <f ca="1"/>
        <v>1</v>
      </c>
      <c r="E56">
        <f ca="1"/>
        <v>352.68200683593699</v>
      </c>
      <c r="F56">
        <f ca="1"/>
        <v>352.15353393554602</v>
      </c>
      <c r="G56">
        <f ca="1"/>
        <v>2</v>
      </c>
      <c r="H56" t="str">
        <f ca="1"/>
        <v>MultiLineString ((690559.03584176278673112 7568243.96303329430520535, 690538.88161866564769298 7568271.91889113932847977))</v>
      </c>
      <c r="I56">
        <f ca="1"/>
        <v>1.2</v>
      </c>
      <c r="J56">
        <f ca="1"/>
        <v>1.2</v>
      </c>
      <c r="K56">
        <f ca="1"/>
        <v>0</v>
      </c>
      <c r="L56">
        <f ca="1"/>
        <v>690538.88161866495</v>
      </c>
      <c r="M56">
        <f ca="1"/>
        <v>7568271.91889113</v>
      </c>
      <c r="N56">
        <f ca="1"/>
        <v>352.68200683593699</v>
      </c>
      <c r="O56">
        <f ca="1"/>
        <v>34.463352945343992</v>
      </c>
      <c r="P56">
        <f ca="1"/>
        <v>34.463352945343992</v>
      </c>
      <c r="Q56">
        <f ca="1"/>
        <v>20.154223097022623</v>
      </c>
      <c r="R56">
        <f ca="1"/>
        <v>-27.955857840366662</v>
      </c>
      <c r="S56">
        <f ca="1"/>
        <v>-0.52847290039096606</v>
      </c>
      <c r="T56" t="str">
        <f ca="1"/>
        <v>C</v>
      </c>
      <c r="U56">
        <f ca="1"/>
        <v>2.4E-2</v>
      </c>
      <c r="V56" s="7">
        <f ca="1"/>
        <v>90</v>
      </c>
      <c r="X56" t="str">
        <f ca="1"/>
        <v>C</v>
      </c>
    </row>
    <row r="57" spans="1:24" x14ac:dyDescent="0.25">
      <c r="A57">
        <f ca="1"/>
        <v>27</v>
      </c>
      <c r="B57" t="str">
        <f ca="1"/>
        <v>R-7b</v>
      </c>
      <c r="C57" s="3" t="str">
        <f ca="1"/>
        <v>R-7b</v>
      </c>
      <c r="D57">
        <f ca="1"/>
        <v>0</v>
      </c>
      <c r="E57">
        <f ca="1"/>
        <v>352.68200683593699</v>
      </c>
      <c r="F57">
        <f ca="1"/>
        <v>352.15353393554602</v>
      </c>
      <c r="G57">
        <f ca="1"/>
        <v>2</v>
      </c>
      <c r="H57" t="str">
        <f ca="1"/>
        <v>MultiLineString ((690559.03584176278673112 7568243.96303329430520535, 690538.88161866564769298 7568271.91889113932847977))</v>
      </c>
      <c r="I57">
        <f ca="1"/>
        <v>1.2</v>
      </c>
      <c r="J57">
        <f ca="1"/>
        <v>1.2</v>
      </c>
      <c r="K57">
        <f ca="1"/>
        <v>0</v>
      </c>
      <c r="L57">
        <f ca="1"/>
        <v>690559.03584176197</v>
      </c>
      <c r="M57">
        <f ca="1"/>
        <v>7568243.9630332896</v>
      </c>
      <c r="N57">
        <f ca="1"/>
        <v>352.15353393554602</v>
      </c>
      <c r="O57">
        <f ca="1"/>
        <v>34.463352945343992</v>
      </c>
      <c r="P57">
        <f ca="1"/>
        <v>34.463352945343992</v>
      </c>
      <c r="Q57">
        <f ca="1"/>
        <v>20.154223097022623</v>
      </c>
      <c r="R57">
        <f ca="1"/>
        <v>-27.955857840366662</v>
      </c>
      <c r="S57">
        <f ca="1"/>
        <v>-0.52847290039096606</v>
      </c>
      <c r="T57" t="str">
        <f ca="1"/>
        <v>C</v>
      </c>
      <c r="U57">
        <f ca="1"/>
        <v>2.4E-2</v>
      </c>
      <c r="V57" s="7">
        <f ca="1"/>
        <v>90</v>
      </c>
      <c r="X57" t="str">
        <f ca="1"/>
        <v>C</v>
      </c>
    </row>
    <row r="58" spans="1:24" x14ac:dyDescent="0.25">
      <c r="A58">
        <f ca="1"/>
        <v>28</v>
      </c>
      <c r="B58" t="str">
        <f ca="1"/>
        <v>R-7c</v>
      </c>
      <c r="C58" s="3" t="str">
        <f ca="1"/>
        <v>R-7c</v>
      </c>
      <c r="D58">
        <f ca="1"/>
        <v>1</v>
      </c>
      <c r="E58">
        <f ca="1"/>
        <v>359.226</v>
      </c>
      <c r="F58">
        <f ca="1"/>
        <v>357.96600000000001</v>
      </c>
      <c r="G58">
        <f ca="1"/>
        <v>1</v>
      </c>
      <c r="H58" t="str">
        <f ca="1"/>
        <v>MultiLineString ((690270.38070888910442591 7567896.65982296504080296, 690261.17007480037864298 7567943.92949225008487701))</v>
      </c>
      <c r="I58">
        <f ca="1"/>
        <v>0.9</v>
      </c>
      <c r="J58">
        <f ca="1"/>
        <v>0.9</v>
      </c>
      <c r="K58">
        <f ca="1"/>
        <v>0</v>
      </c>
      <c r="L58">
        <f ca="1"/>
        <v>690261.17007480003</v>
      </c>
      <c r="M58">
        <f ca="1"/>
        <v>7567943.9294922501</v>
      </c>
      <c r="N58">
        <f ca="1"/>
        <v>359.226</v>
      </c>
      <c r="O58">
        <f ca="1"/>
        <v>48.158669158089893</v>
      </c>
      <c r="P58">
        <f ca="1"/>
        <v>48.158669158089893</v>
      </c>
      <c r="Q58">
        <f ca="1"/>
        <v>9.2106340889586136</v>
      </c>
      <c r="R58">
        <f ca="1"/>
        <v>-47.269669289700687</v>
      </c>
      <c r="S58">
        <f ca="1"/>
        <v>-1.2599999999999909</v>
      </c>
      <c r="T58" t="str">
        <f ca="1"/>
        <v>C</v>
      </c>
      <c r="U58">
        <f ca="1"/>
        <v>2.4E-2</v>
      </c>
      <c r="V58" s="7">
        <f ca="1"/>
        <v>90</v>
      </c>
      <c r="X58" t="str">
        <f ca="1"/>
        <v>C</v>
      </c>
    </row>
    <row r="59" spans="1:24" x14ac:dyDescent="0.25">
      <c r="A59">
        <f ca="1"/>
        <v>28</v>
      </c>
      <c r="B59" t="str">
        <f ca="1"/>
        <v>R-7c</v>
      </c>
      <c r="C59" s="3" t="str">
        <f ca="1"/>
        <v>R-7c</v>
      </c>
      <c r="D59">
        <f ca="1"/>
        <v>0</v>
      </c>
      <c r="E59">
        <f ca="1"/>
        <v>359.226</v>
      </c>
      <c r="F59">
        <f ca="1"/>
        <v>357.96600000000001</v>
      </c>
      <c r="G59">
        <f ca="1"/>
        <v>1</v>
      </c>
      <c r="H59" t="str">
        <f ca="1"/>
        <v>MultiLineString ((690270.38070888910442591 7567896.65982296504080296, 690261.17007480037864298 7567943.92949225008487701))</v>
      </c>
      <c r="I59">
        <f ca="1"/>
        <v>0.9</v>
      </c>
      <c r="J59">
        <f ca="1"/>
        <v>0.9</v>
      </c>
      <c r="K59">
        <f ca="1"/>
        <v>0</v>
      </c>
      <c r="L59">
        <f ca="1"/>
        <v>690270.38070888899</v>
      </c>
      <c r="M59">
        <f ca="1"/>
        <v>7567896.6598229604</v>
      </c>
      <c r="N59">
        <f ca="1"/>
        <v>357.96600000000001</v>
      </c>
      <c r="O59">
        <f ca="1"/>
        <v>48.158669158089893</v>
      </c>
      <c r="P59">
        <f ca="1"/>
        <v>48.158669158089893</v>
      </c>
      <c r="Q59">
        <f ca="1"/>
        <v>9.2106340889586136</v>
      </c>
      <c r="R59">
        <f ca="1"/>
        <v>-47.269669289700687</v>
      </c>
      <c r="S59">
        <f ca="1"/>
        <v>-1.2599999999999909</v>
      </c>
      <c r="T59" t="str">
        <f ca="1"/>
        <v>C</v>
      </c>
      <c r="U59">
        <f ca="1"/>
        <v>2.4E-2</v>
      </c>
      <c r="V59" s="7">
        <f ca="1"/>
        <v>90</v>
      </c>
      <c r="X59" t="str">
        <f ca="1"/>
        <v>C</v>
      </c>
    </row>
    <row r="60" spans="1:24" x14ac:dyDescent="0.25">
      <c r="A60">
        <f ca="1"/>
        <v>29</v>
      </c>
      <c r="B60" t="str">
        <f ca="1"/>
        <v>R-8</v>
      </c>
      <c r="C60" s="3" t="str">
        <f ca="1"/>
        <v>R-8</v>
      </c>
      <c r="D60">
        <f ca="1"/>
        <v>1</v>
      </c>
      <c r="E60">
        <f ca="1"/>
        <v>352.682037353515</v>
      </c>
      <c r="F60">
        <f ca="1"/>
        <v>352.22879028320301</v>
      </c>
      <c r="G60">
        <f ca="1"/>
        <v>9</v>
      </c>
      <c r="H60" t="str">
        <f ca="1"/>
        <v>MultiLineString ((691279.20103022071998566 7569106.97243891004472971, 691252.82407464657444507 7569121.83269557077437639))</v>
      </c>
      <c r="I60">
        <f ca="1"/>
        <v>1.5</v>
      </c>
      <c r="J60">
        <f ca="1"/>
        <v>1.5</v>
      </c>
      <c r="K60">
        <f ca="1"/>
        <v>0</v>
      </c>
      <c r="L60">
        <f ca="1"/>
        <v>691252.82407464599</v>
      </c>
      <c r="M60">
        <f ca="1"/>
        <v>7569121.8326955698</v>
      </c>
      <c r="N60">
        <f ca="1"/>
        <v>352.682037353515</v>
      </c>
      <c r="O60">
        <f ca="1"/>
        <v>30.274923837218594</v>
      </c>
      <c r="P60">
        <f ca="1"/>
        <v>30.274923837218594</v>
      </c>
      <c r="Q60">
        <f ca="1"/>
        <v>26.376955574029125</v>
      </c>
      <c r="R60">
        <f ca="1"/>
        <v>-14.860256659798324</v>
      </c>
      <c r="S60">
        <f ca="1"/>
        <v>-0.45324707031198841</v>
      </c>
      <c r="T60" t="str">
        <f ca="1"/>
        <v>C</v>
      </c>
      <c r="U60">
        <f ca="1"/>
        <v>2.4E-2</v>
      </c>
      <c r="V60" s="7">
        <f ca="1"/>
        <v>90</v>
      </c>
      <c r="X60" t="str">
        <f ca="1"/>
        <v>C</v>
      </c>
    </row>
    <row r="61" spans="1:24" x14ac:dyDescent="0.25">
      <c r="A61">
        <f ca="1"/>
        <v>29</v>
      </c>
      <c r="B61" t="str">
        <f ca="1"/>
        <v>R-8</v>
      </c>
      <c r="C61" s="3" t="str">
        <f ca="1"/>
        <v>R-8</v>
      </c>
      <c r="D61">
        <f ca="1"/>
        <v>0</v>
      </c>
      <c r="E61">
        <f ca="1"/>
        <v>352.682037353515</v>
      </c>
      <c r="F61">
        <f ca="1"/>
        <v>352.22879028320301</v>
      </c>
      <c r="G61">
        <f ca="1"/>
        <v>9</v>
      </c>
      <c r="H61" t="str">
        <f ca="1"/>
        <v>MultiLineString ((691279.20103022071998566 7569106.97243891004472971, 691252.82407464657444507 7569121.83269557077437639))</v>
      </c>
      <c r="I61">
        <f ca="1"/>
        <v>1.5</v>
      </c>
      <c r="J61">
        <f ca="1"/>
        <v>1.5</v>
      </c>
      <c r="K61">
        <f ca="1"/>
        <v>0</v>
      </c>
      <c r="L61">
        <f ca="1"/>
        <v>691279.20103022002</v>
      </c>
      <c r="M61">
        <f ca="1"/>
        <v>7569106.97243891</v>
      </c>
      <c r="N61">
        <f ca="1"/>
        <v>352.22879028320301</v>
      </c>
      <c r="O61">
        <f ca="1"/>
        <v>30.274923837218594</v>
      </c>
      <c r="P61">
        <f ca="1"/>
        <v>30.274923837218594</v>
      </c>
      <c r="Q61">
        <f ca="1"/>
        <v>26.376955574029125</v>
      </c>
      <c r="R61">
        <f ca="1"/>
        <v>-14.860256659798324</v>
      </c>
      <c r="S61">
        <f ca="1"/>
        <v>-0.45324707031198841</v>
      </c>
      <c r="T61" t="str">
        <f ca="1"/>
        <v>C</v>
      </c>
      <c r="U61">
        <f ca="1"/>
        <v>2.4E-2</v>
      </c>
      <c r="V61" s="7">
        <f ca="1"/>
        <v>90</v>
      </c>
      <c r="X61" t="str">
        <f ca="1"/>
        <v>C</v>
      </c>
    </row>
    <row r="62" spans="1:24" x14ac:dyDescent="0.25">
      <c r="A62">
        <f ca="1"/>
        <v>30</v>
      </c>
      <c r="B62" t="str">
        <f ca="1"/>
        <v>R-9</v>
      </c>
      <c r="C62" s="3" t="str">
        <f ca="1"/>
        <v>R-9</v>
      </c>
      <c r="D62">
        <f ca="1"/>
        <v>1</v>
      </c>
      <c r="E62">
        <f ca="1"/>
        <v>354.05548095703102</v>
      </c>
      <c r="F62">
        <f ca="1"/>
        <v>353.73797607421801</v>
      </c>
      <c r="G62">
        <f ca="1"/>
        <v>3</v>
      </c>
      <c r="H62" t="str">
        <f ca="1"/>
        <v>MultiLineString ((691507.72391469345893711 7569388.57430264540016651, 691479.22176939097698778 7569401.46008582692593336))</v>
      </c>
      <c r="I62">
        <f ca="1"/>
        <v>0.9</v>
      </c>
      <c r="J62">
        <f ca="1"/>
        <v>0.9</v>
      </c>
      <c r="K62">
        <f ca="1"/>
        <v>0</v>
      </c>
      <c r="L62">
        <f ca="1"/>
        <v>691479.22176939005</v>
      </c>
      <c r="M62">
        <f ca="1"/>
        <v>7569401.4600858204</v>
      </c>
      <c r="N62">
        <f ca="1"/>
        <v>354.05548095703102</v>
      </c>
      <c r="O62">
        <f ca="1"/>
        <v>31.279637067070155</v>
      </c>
      <c r="P62">
        <f ca="1"/>
        <v>31.279637067070155</v>
      </c>
      <c r="Q62">
        <f ca="1"/>
        <v>28.502145302947611</v>
      </c>
      <c r="R62">
        <f ca="1"/>
        <v>-12.885783180594444</v>
      </c>
      <c r="S62">
        <f ca="1"/>
        <v>-0.31750488281301159</v>
      </c>
      <c r="T62" t="str">
        <f ca="1"/>
        <v>C</v>
      </c>
      <c r="U62">
        <f ca="1"/>
        <v>2.4E-2</v>
      </c>
      <c r="V62" s="7">
        <f ca="1"/>
        <v>90</v>
      </c>
      <c r="X62" t="str">
        <f ca="1"/>
        <v>C</v>
      </c>
    </row>
    <row r="63" spans="1:24" x14ac:dyDescent="0.25">
      <c r="A63">
        <f ca="1"/>
        <v>30</v>
      </c>
      <c r="B63" t="str">
        <f ca="1"/>
        <v>R-9</v>
      </c>
      <c r="C63" s="3" t="str">
        <f ca="1"/>
        <v>R-9</v>
      </c>
      <c r="D63">
        <f ca="1"/>
        <v>0</v>
      </c>
      <c r="E63">
        <f ca="1"/>
        <v>354.05548095703102</v>
      </c>
      <c r="F63">
        <f ca="1"/>
        <v>353.73797607421801</v>
      </c>
      <c r="G63">
        <f ca="1"/>
        <v>3</v>
      </c>
      <c r="H63" t="str">
        <f ca="1"/>
        <v>MultiLineString ((691507.72391469345893711 7569388.57430264540016651, 691479.22176939097698778 7569401.46008582692593336))</v>
      </c>
      <c r="I63">
        <f ca="1"/>
        <v>0.9</v>
      </c>
      <c r="J63">
        <f ca="1"/>
        <v>0.9</v>
      </c>
      <c r="K63">
        <f ca="1"/>
        <v>0</v>
      </c>
      <c r="L63">
        <f ca="1"/>
        <v>691507.72391469299</v>
      </c>
      <c r="M63">
        <f ca="1"/>
        <v>7569388.5743026398</v>
      </c>
      <c r="N63">
        <f ca="1"/>
        <v>353.73797607421801</v>
      </c>
      <c r="O63">
        <f ca="1"/>
        <v>31.279637067070155</v>
      </c>
      <c r="P63">
        <f ca="1"/>
        <v>31.279637067070155</v>
      </c>
      <c r="Q63">
        <f ca="1"/>
        <v>28.502145302947611</v>
      </c>
      <c r="R63">
        <f ca="1"/>
        <v>-12.885783180594444</v>
      </c>
      <c r="S63">
        <f ca="1"/>
        <v>-0.31750488281301159</v>
      </c>
      <c r="T63" t="str">
        <f ca="1"/>
        <v>C</v>
      </c>
      <c r="U63">
        <f ca="1"/>
        <v>2.4E-2</v>
      </c>
      <c r="V63" s="7">
        <f ca="1"/>
        <v>90</v>
      </c>
      <c r="X63" t="str">
        <f ca="1"/>
        <v>C</v>
      </c>
    </row>
    <row r="64" spans="1:24" x14ac:dyDescent="0.25">
      <c r="C64" s="3"/>
    </row>
    <row r="65" spans="2:3" x14ac:dyDescent="0.25">
      <c r="C65" s="3"/>
    </row>
    <row r="66" spans="2:3" x14ac:dyDescent="0.25">
      <c r="C66" s="3"/>
    </row>
    <row r="67" spans="2:3" x14ac:dyDescent="0.25">
      <c r="B67" s="3"/>
      <c r="C67" s="3"/>
    </row>
    <row r="68" spans="2:3" x14ac:dyDescent="0.25">
      <c r="B68" s="3"/>
      <c r="C68" s="3"/>
    </row>
    <row r="69" spans="2:3" x14ac:dyDescent="0.25">
      <c r="B69" s="3"/>
      <c r="C69" s="3"/>
    </row>
    <row r="70" spans="2:3" x14ac:dyDescent="0.25">
      <c r="B70" s="3"/>
      <c r="C70" s="3"/>
    </row>
    <row r="71" spans="2:3" x14ac:dyDescent="0.25">
      <c r="B71" s="3"/>
      <c r="C71" s="3"/>
    </row>
    <row r="72" spans="2:3" x14ac:dyDescent="0.25">
      <c r="B72" s="3"/>
      <c r="C72" s="3"/>
    </row>
    <row r="73" spans="2:3" x14ac:dyDescent="0.25">
      <c r="B73" s="3"/>
      <c r="C73" s="3"/>
    </row>
    <row r="74" spans="2:3" x14ac:dyDescent="0.25">
      <c r="B74" s="3"/>
      <c r="C74" s="3"/>
    </row>
    <row r="75" spans="2:3" x14ac:dyDescent="0.25">
      <c r="B75" s="3"/>
      <c r="C75" s="3"/>
    </row>
    <row r="76" spans="2:3" x14ac:dyDescent="0.25">
      <c r="B76" s="3"/>
      <c r="C76" s="3"/>
    </row>
    <row r="77" spans="2:3" x14ac:dyDescent="0.25">
      <c r="B77" s="3"/>
      <c r="C77" s="3"/>
    </row>
    <row r="78" spans="2:3" x14ac:dyDescent="0.25">
      <c r="B78" s="3"/>
      <c r="C78" s="3"/>
    </row>
    <row r="79" spans="2:3" x14ac:dyDescent="0.25">
      <c r="B79" s="3"/>
      <c r="C79" s="3"/>
    </row>
    <row r="80" spans="2:3" x14ac:dyDescent="0.25">
      <c r="B80" s="3"/>
      <c r="C80" s="3"/>
    </row>
    <row r="81" spans="2:12" x14ac:dyDescent="0.25">
      <c r="B81" s="3"/>
      <c r="C81" s="3"/>
    </row>
    <row r="82" spans="2:12" x14ac:dyDescent="0.25">
      <c r="B82" s="3"/>
      <c r="C82" s="3"/>
    </row>
    <row r="83" spans="2:12" x14ac:dyDescent="0.25">
      <c r="B83" s="3"/>
      <c r="C83" s="3"/>
    </row>
    <row r="84" spans="2:12" x14ac:dyDescent="0.25">
      <c r="B84" s="3"/>
      <c r="C84" s="3"/>
    </row>
    <row r="85" spans="2:12" x14ac:dyDescent="0.25">
      <c r="B85" s="3"/>
      <c r="C85" s="3"/>
    </row>
    <row r="86" spans="2:12" x14ac:dyDescent="0.25">
      <c r="B86" s="3"/>
      <c r="C86" s="3"/>
    </row>
    <row r="87" spans="2:12" x14ac:dyDescent="0.25">
      <c r="B87" s="3"/>
      <c r="C87" s="3"/>
    </row>
    <row r="88" spans="2:12" x14ac:dyDescent="0.25">
      <c r="B88" s="3"/>
      <c r="C88" s="3"/>
    </row>
    <row r="89" spans="2:12" x14ac:dyDescent="0.25">
      <c r="B89" s="3"/>
      <c r="C89" s="3"/>
    </row>
    <row r="90" spans="2:12" x14ac:dyDescent="0.25">
      <c r="B90" s="3"/>
      <c r="C90" s="3"/>
    </row>
    <row r="91" spans="2:12" x14ac:dyDescent="0.25">
      <c r="B91" s="3"/>
      <c r="C91" s="3"/>
    </row>
    <row r="92" spans="2:12" x14ac:dyDescent="0.25">
      <c r="B92" s="3"/>
      <c r="C92" s="3"/>
    </row>
    <row r="93" spans="2:12" x14ac:dyDescent="0.25">
      <c r="B93" s="3"/>
      <c r="C93" s="3"/>
    </row>
    <row r="94" spans="2:12" x14ac:dyDescent="0.25">
      <c r="B94" s="3"/>
      <c r="C94" s="3"/>
    </row>
    <row r="95" spans="2:12" x14ac:dyDescent="0.25">
      <c r="B95" s="3"/>
      <c r="C95" s="3"/>
    </row>
    <row r="96" spans="2:12" x14ac:dyDescent="0.25">
      <c r="B96" s="3"/>
      <c r="C96" s="3"/>
      <c r="L96" cm="1">
        <f t="array" aca="1" ref="L96:L99" ca="1">_xlfn.LET(
    _xlpm.cleanString, SUBSTITUTE(SUBSTITUTE(H4, "MultiLineString ((", ""), "))", ""),
    _xlpm.xmlString, "&lt;t&gt;&lt;s&gt;" &amp; SUBSTITUTE(SUBSTITUTE(_xlpm.cleanString, ", ", "&lt;/s&gt;&lt;s&gt;"), " ", "&lt;/s&gt;&lt;s&gt;") &amp; "&lt;/s&gt;&lt;/t&gt;",
    _xlpm.numbers, _xlfn.FILTERXML(_xlpm.xmlString, "//s"),_xlpm.numbers)</f>
        <v>687316.36780907097</v>
      </c>
    </row>
    <row r="97" spans="2:12" x14ac:dyDescent="0.25">
      <c r="B97" s="3"/>
      <c r="C97" s="3"/>
      <c r="L97">
        <f ca="1"/>
        <v>7565096.3571438901</v>
      </c>
    </row>
    <row r="98" spans="2:12" x14ac:dyDescent="0.25">
      <c r="B98" s="3"/>
      <c r="C98" s="3"/>
      <c r="L98">
        <f ca="1"/>
        <v>687240.47098323505</v>
      </c>
    </row>
    <row r="99" spans="2:12" x14ac:dyDescent="0.25">
      <c r="B99" s="3"/>
      <c r="C99" s="3"/>
      <c r="L99">
        <f ca="1"/>
        <v>7565130.9173056604</v>
      </c>
    </row>
    <row r="100" spans="2:12" x14ac:dyDescent="0.25">
      <c r="B100" s="3"/>
      <c r="C100" s="3"/>
    </row>
    <row r="101" spans="2:12" x14ac:dyDescent="0.25">
      <c r="B101" s="3"/>
      <c r="C101" s="3"/>
    </row>
    <row r="102" spans="2:12" x14ac:dyDescent="0.25">
      <c r="B102" s="3"/>
      <c r="C102" s="3"/>
    </row>
    <row r="103" spans="2:12" x14ac:dyDescent="0.25">
      <c r="B103" s="3"/>
      <c r="C103" s="3"/>
    </row>
    <row r="104" spans="2:12" x14ac:dyDescent="0.25">
      <c r="B104" s="3"/>
      <c r="C104" s="3"/>
    </row>
    <row r="105" spans="2:12" x14ac:dyDescent="0.25">
      <c r="B105" s="3"/>
      <c r="C105" s="3"/>
    </row>
    <row r="106" spans="2:12" x14ac:dyDescent="0.25">
      <c r="B106" s="3"/>
      <c r="C106" s="3"/>
    </row>
    <row r="107" spans="2:12" x14ac:dyDescent="0.25">
      <c r="B107" s="3"/>
      <c r="C107" s="3"/>
    </row>
    <row r="108" spans="2:12" x14ac:dyDescent="0.25">
      <c r="B108" s="3"/>
      <c r="C108" s="3"/>
    </row>
    <row r="109" spans="2:12" x14ac:dyDescent="0.25">
      <c r="B109" s="3"/>
      <c r="C109" s="3"/>
    </row>
    <row r="110" spans="2:12" x14ac:dyDescent="0.25">
      <c r="B110" s="3"/>
      <c r="C110" s="3"/>
    </row>
    <row r="111" spans="2:12" x14ac:dyDescent="0.25">
      <c r="B111" s="3"/>
      <c r="C111" s="3"/>
    </row>
    <row r="112" spans="2:12" x14ac:dyDescent="0.25">
      <c r="B112" s="3"/>
      <c r="C112" s="3"/>
    </row>
    <row r="113" spans="2:3" x14ac:dyDescent="0.25">
      <c r="B113" s="3"/>
      <c r="C113" s="3"/>
    </row>
    <row r="114" spans="2:3" x14ac:dyDescent="0.25">
      <c r="B114" s="3"/>
      <c r="C114" s="3"/>
    </row>
    <row r="115" spans="2:3" x14ac:dyDescent="0.25">
      <c r="B115" s="3"/>
      <c r="C115" s="3"/>
    </row>
    <row r="116" spans="2:3" x14ac:dyDescent="0.25">
      <c r="B116" s="3"/>
      <c r="C116" s="3"/>
    </row>
    <row r="117" spans="2:3" x14ac:dyDescent="0.25">
      <c r="B117" s="3"/>
      <c r="C117" s="3"/>
    </row>
    <row r="118" spans="2:3" x14ac:dyDescent="0.25">
      <c r="B118" s="3"/>
      <c r="C118" s="3"/>
    </row>
    <row r="119" spans="2:3" x14ac:dyDescent="0.25">
      <c r="B119" s="3"/>
      <c r="C119" s="3"/>
    </row>
    <row r="120" spans="2:3" x14ac:dyDescent="0.25">
      <c r="B120" s="3"/>
      <c r="C120" s="3"/>
    </row>
    <row r="121" spans="2:3" x14ac:dyDescent="0.25">
      <c r="B121" s="3"/>
      <c r="C121" s="3"/>
    </row>
    <row r="122" spans="2:3" x14ac:dyDescent="0.25">
      <c r="B122" s="3"/>
      <c r="C122" s="3"/>
    </row>
    <row r="123" spans="2:3" x14ac:dyDescent="0.25">
      <c r="B123" s="3"/>
      <c r="C123" s="3"/>
    </row>
    <row r="124" spans="2:3" x14ac:dyDescent="0.25">
      <c r="B124" s="3"/>
      <c r="C124" s="3"/>
    </row>
    <row r="125" spans="2:3" x14ac:dyDescent="0.25">
      <c r="B125" s="3"/>
      <c r="C125" s="3"/>
    </row>
    <row r="126" spans="2:3" x14ac:dyDescent="0.25">
      <c r="B126" s="3"/>
      <c r="C126" s="3"/>
    </row>
    <row r="127" spans="2:3" x14ac:dyDescent="0.25">
      <c r="B127" s="3"/>
      <c r="C127" s="3"/>
    </row>
    <row r="128" spans="2:3" x14ac:dyDescent="0.25">
      <c r="B128" s="3"/>
      <c r="C128" s="3"/>
    </row>
    <row r="129" spans="2:3" x14ac:dyDescent="0.25">
      <c r="B129" s="3"/>
      <c r="C129" s="3"/>
    </row>
    <row r="130" spans="2:3" x14ac:dyDescent="0.25">
      <c r="B130" s="3"/>
      <c r="C130" s="3"/>
    </row>
    <row r="131" spans="2:3" x14ac:dyDescent="0.25">
      <c r="B131" s="3"/>
      <c r="C131" s="3"/>
    </row>
    <row r="132" spans="2:3" x14ac:dyDescent="0.25">
      <c r="B132" s="3"/>
      <c r="C132" s="3"/>
    </row>
    <row r="133" spans="2:3" x14ac:dyDescent="0.25">
      <c r="B133" s="3"/>
      <c r="C133" s="3"/>
    </row>
    <row r="134" spans="2:3" x14ac:dyDescent="0.25">
      <c r="B134" s="3"/>
      <c r="C134" s="3"/>
    </row>
    <row r="135" spans="2:3" x14ac:dyDescent="0.25">
      <c r="B135" s="3"/>
      <c r="C135" s="3"/>
    </row>
    <row r="136" spans="2:3" x14ac:dyDescent="0.25">
      <c r="B136" s="3"/>
      <c r="C136" s="3"/>
    </row>
    <row r="137" spans="2:3" x14ac:dyDescent="0.25">
      <c r="B137" s="3"/>
      <c r="C137" s="3"/>
    </row>
    <row r="138" spans="2:3" x14ac:dyDescent="0.25">
      <c r="B138" s="3"/>
      <c r="C138" s="3"/>
    </row>
    <row r="139" spans="2:3" x14ac:dyDescent="0.25">
      <c r="B139" s="3"/>
      <c r="C139" s="3"/>
    </row>
    <row r="140" spans="2:3" x14ac:dyDescent="0.25">
      <c r="B140" s="3"/>
      <c r="C140" s="3"/>
    </row>
    <row r="141" spans="2:3" x14ac:dyDescent="0.25">
      <c r="B141" s="3"/>
      <c r="C141" s="3"/>
    </row>
    <row r="142" spans="2:3" x14ac:dyDescent="0.25">
      <c r="B142" s="3"/>
      <c r="C142" s="3"/>
    </row>
    <row r="143" spans="2:3" x14ac:dyDescent="0.25">
      <c r="B143" s="3"/>
      <c r="C143" s="3"/>
    </row>
    <row r="144" spans="2:3" x14ac:dyDescent="0.25">
      <c r="B144" s="3"/>
      <c r="C144" s="3"/>
    </row>
    <row r="145" spans="2:3" x14ac:dyDescent="0.25">
      <c r="B145" s="3"/>
      <c r="C145" s="3"/>
    </row>
    <row r="146" spans="2:3" x14ac:dyDescent="0.25">
      <c r="B146" s="3"/>
      <c r="C146" s="3"/>
    </row>
    <row r="147" spans="2:3" x14ac:dyDescent="0.25">
      <c r="B147" s="3"/>
      <c r="C147" s="3"/>
    </row>
    <row r="148" spans="2:3" x14ac:dyDescent="0.25">
      <c r="B148" s="3"/>
      <c r="C148" s="3"/>
    </row>
    <row r="149" spans="2:3" x14ac:dyDescent="0.25">
      <c r="B149" s="3"/>
      <c r="C149" s="3"/>
    </row>
    <row r="150" spans="2:3" x14ac:dyDescent="0.25">
      <c r="B150" s="3"/>
      <c r="C150" s="3"/>
    </row>
    <row r="151" spans="2:3" x14ac:dyDescent="0.25">
      <c r="B151" s="3"/>
      <c r="C151" s="3"/>
    </row>
    <row r="152" spans="2:3" x14ac:dyDescent="0.25">
      <c r="B152" s="3"/>
      <c r="C152" s="3"/>
    </row>
    <row r="153" spans="2:3" x14ac:dyDescent="0.25">
      <c r="B153" s="3"/>
      <c r="C153" s="3"/>
    </row>
    <row r="154" spans="2:3" x14ac:dyDescent="0.25">
      <c r="B154" s="3"/>
      <c r="C154" s="3"/>
    </row>
    <row r="155" spans="2:3" x14ac:dyDescent="0.25">
      <c r="B155" s="3"/>
      <c r="C155" s="3"/>
    </row>
    <row r="156" spans="2:3" x14ac:dyDescent="0.25">
      <c r="B156" s="3"/>
      <c r="C156" s="3"/>
    </row>
    <row r="157" spans="2:3" x14ac:dyDescent="0.25">
      <c r="B157" s="3"/>
      <c r="C157" s="3"/>
    </row>
    <row r="158" spans="2:3" x14ac:dyDescent="0.25">
      <c r="B158" s="3"/>
      <c r="C158" s="3"/>
    </row>
    <row r="159" spans="2:3" x14ac:dyDescent="0.25">
      <c r="B159" s="3"/>
      <c r="C159" s="3"/>
    </row>
    <row r="160" spans="2:3" x14ac:dyDescent="0.25">
      <c r="B160" s="3"/>
      <c r="C160" s="3"/>
    </row>
    <row r="161" spans="2:3" x14ac:dyDescent="0.25">
      <c r="B161" s="3"/>
      <c r="C161" s="3"/>
    </row>
    <row r="162" spans="2:3" x14ac:dyDescent="0.25">
      <c r="B162" s="3"/>
      <c r="C162" s="3"/>
    </row>
    <row r="163" spans="2:3" x14ac:dyDescent="0.25">
      <c r="B163" s="3"/>
      <c r="C163" s="3"/>
    </row>
    <row r="164" spans="2:3" x14ac:dyDescent="0.25">
      <c r="B164" s="3"/>
      <c r="C164" s="3"/>
    </row>
    <row r="165" spans="2:3" x14ac:dyDescent="0.25">
      <c r="B165" s="3"/>
      <c r="C165" s="3"/>
    </row>
    <row r="166" spans="2:3" x14ac:dyDescent="0.25">
      <c r="B166" s="3"/>
      <c r="C166" s="3"/>
    </row>
    <row r="167" spans="2:3" x14ac:dyDescent="0.25">
      <c r="B167" s="3"/>
      <c r="C167" s="3"/>
    </row>
    <row r="168" spans="2:3" x14ac:dyDescent="0.25">
      <c r="B168" s="3"/>
      <c r="C168" s="3"/>
    </row>
    <row r="169" spans="2:3" x14ac:dyDescent="0.25">
      <c r="B169" s="3"/>
      <c r="C169" s="3"/>
    </row>
    <row r="170" spans="2:3" x14ac:dyDescent="0.25">
      <c r="B170" s="3"/>
      <c r="C170" s="3"/>
    </row>
    <row r="171" spans="2:3" x14ac:dyDescent="0.25">
      <c r="B171" s="3"/>
      <c r="C171" s="3"/>
    </row>
    <row r="172" spans="2:3" x14ac:dyDescent="0.25">
      <c r="B172" s="3"/>
      <c r="C172" s="3"/>
    </row>
    <row r="173" spans="2:3" x14ac:dyDescent="0.25">
      <c r="B173" s="3"/>
      <c r="C173" s="3"/>
    </row>
    <row r="174" spans="2:3" x14ac:dyDescent="0.25">
      <c r="B174" s="3"/>
      <c r="C174" s="3"/>
    </row>
    <row r="175" spans="2:3" x14ac:dyDescent="0.25">
      <c r="B175" s="3"/>
      <c r="C175" s="3"/>
    </row>
    <row r="176" spans="2:3" x14ac:dyDescent="0.25">
      <c r="B176" s="3"/>
      <c r="C176" s="3"/>
    </row>
    <row r="177" spans="2:3" x14ac:dyDescent="0.25">
      <c r="B177" s="3"/>
      <c r="C177" s="3"/>
    </row>
    <row r="178" spans="2:3" x14ac:dyDescent="0.25">
      <c r="B178" s="3"/>
      <c r="C178" s="3"/>
    </row>
    <row r="179" spans="2:3" x14ac:dyDescent="0.25">
      <c r="B179" s="3"/>
      <c r="C179" s="3"/>
    </row>
    <row r="180" spans="2:3" x14ac:dyDescent="0.25">
      <c r="B180" s="3"/>
      <c r="C180" s="3"/>
    </row>
    <row r="181" spans="2:3" x14ac:dyDescent="0.25">
      <c r="B181" s="3"/>
      <c r="C181" s="3"/>
    </row>
    <row r="182" spans="2:3" x14ac:dyDescent="0.25">
      <c r="B182" s="3"/>
      <c r="C182" s="3"/>
    </row>
    <row r="183" spans="2:3" x14ac:dyDescent="0.25">
      <c r="B183" s="3"/>
      <c r="C183" s="3"/>
    </row>
    <row r="184" spans="2:3" x14ac:dyDescent="0.25">
      <c r="B184" s="3"/>
      <c r="C184" s="3"/>
    </row>
    <row r="185" spans="2:3" x14ac:dyDescent="0.25">
      <c r="B185" s="3"/>
      <c r="C185" s="3"/>
    </row>
    <row r="186" spans="2:3" x14ac:dyDescent="0.25">
      <c r="B186" s="3"/>
      <c r="C186" s="3"/>
    </row>
    <row r="187" spans="2:3" x14ac:dyDescent="0.25">
      <c r="B187" s="3"/>
      <c r="C187" s="3"/>
    </row>
    <row r="188" spans="2:3" x14ac:dyDescent="0.25">
      <c r="B188" s="3"/>
      <c r="C188" s="3"/>
    </row>
    <row r="189" spans="2:3" x14ac:dyDescent="0.25">
      <c r="B189" s="3"/>
      <c r="C189" s="3"/>
    </row>
    <row r="190" spans="2:3" x14ac:dyDescent="0.25">
      <c r="B190" s="3"/>
      <c r="C190" s="3"/>
    </row>
    <row r="191" spans="2:3" x14ac:dyDescent="0.25">
      <c r="B191" s="3"/>
      <c r="C191" s="3"/>
    </row>
    <row r="192" spans="2:3" x14ac:dyDescent="0.25">
      <c r="B192" s="3"/>
      <c r="C192" s="3"/>
    </row>
    <row r="193" spans="2:3" x14ac:dyDescent="0.25">
      <c r="B193" s="3"/>
      <c r="C193" s="3"/>
    </row>
    <row r="194" spans="2:3" x14ac:dyDescent="0.25">
      <c r="B194" s="3"/>
      <c r="C194" s="3"/>
    </row>
    <row r="195" spans="2:3" x14ac:dyDescent="0.25">
      <c r="B195" s="3"/>
      <c r="C195" s="3"/>
    </row>
    <row r="196" spans="2:3" x14ac:dyDescent="0.25">
      <c r="B196" s="3"/>
      <c r="C196" s="3"/>
    </row>
    <row r="197" spans="2:3" x14ac:dyDescent="0.25">
      <c r="B197" s="3"/>
      <c r="C197" s="3"/>
    </row>
    <row r="198" spans="2:3" x14ac:dyDescent="0.25">
      <c r="B198" s="3"/>
      <c r="C198" s="3"/>
    </row>
    <row r="199" spans="2:3" x14ac:dyDescent="0.25">
      <c r="B199" s="3"/>
      <c r="C199" s="3"/>
    </row>
    <row r="200" spans="2:3" x14ac:dyDescent="0.25">
      <c r="B200" s="3"/>
      <c r="C200" s="3"/>
    </row>
    <row r="201" spans="2:3" x14ac:dyDescent="0.25">
      <c r="B201" s="3"/>
      <c r="C201" s="3"/>
    </row>
    <row r="202" spans="2:3" x14ac:dyDescent="0.25">
      <c r="B202" s="3"/>
      <c r="C202" s="3"/>
    </row>
    <row r="203" spans="2:3" x14ac:dyDescent="0.25">
      <c r="B203" s="3"/>
      <c r="C203" s="3"/>
    </row>
    <row r="204" spans="2:3" x14ac:dyDescent="0.25">
      <c r="B204" s="3"/>
      <c r="C204" s="3"/>
    </row>
    <row r="205" spans="2:3" x14ac:dyDescent="0.25">
      <c r="B205" s="3"/>
      <c r="C205" s="3"/>
    </row>
    <row r="206" spans="2:3" x14ac:dyDescent="0.25">
      <c r="B206" s="3"/>
      <c r="C206" s="3"/>
    </row>
    <row r="207" spans="2:3" x14ac:dyDescent="0.25">
      <c r="B207" s="3"/>
      <c r="C207" s="3"/>
    </row>
    <row r="208" spans="2:3" x14ac:dyDescent="0.25">
      <c r="B208" s="3"/>
      <c r="C208" s="3"/>
    </row>
    <row r="209" spans="2:3" x14ac:dyDescent="0.25">
      <c r="B209" s="3"/>
      <c r="C209" s="3"/>
    </row>
    <row r="210" spans="2:3" x14ac:dyDescent="0.25">
      <c r="B210" s="3"/>
      <c r="C210" s="3"/>
    </row>
    <row r="211" spans="2:3" x14ac:dyDescent="0.25">
      <c r="B211" s="3"/>
      <c r="C211" s="3"/>
    </row>
    <row r="212" spans="2:3" x14ac:dyDescent="0.25">
      <c r="B212" s="3"/>
      <c r="C212" s="3"/>
    </row>
    <row r="213" spans="2:3" x14ac:dyDescent="0.25">
      <c r="B213" s="3"/>
      <c r="C213" s="3"/>
    </row>
    <row r="214" spans="2:3" x14ac:dyDescent="0.25">
      <c r="B214" s="3"/>
      <c r="C214" s="3"/>
    </row>
    <row r="215" spans="2:3" x14ac:dyDescent="0.25">
      <c r="B215" s="3"/>
      <c r="C215" s="3"/>
    </row>
    <row r="216" spans="2:3" x14ac:dyDescent="0.25">
      <c r="B216" s="3"/>
      <c r="C216" s="3"/>
    </row>
    <row r="217" spans="2:3" x14ac:dyDescent="0.25">
      <c r="B217" s="3"/>
      <c r="C217" s="3"/>
    </row>
    <row r="218" spans="2:3" x14ac:dyDescent="0.25">
      <c r="B218" s="3"/>
      <c r="C218" s="3"/>
    </row>
    <row r="219" spans="2:3" x14ac:dyDescent="0.25">
      <c r="B219" s="3"/>
      <c r="C219" s="3"/>
    </row>
    <row r="220" spans="2:3" x14ac:dyDescent="0.25">
      <c r="B220" s="3"/>
      <c r="C220" s="3"/>
    </row>
    <row r="221" spans="2:3" x14ac:dyDescent="0.25">
      <c r="B221" s="3"/>
      <c r="C221" s="3"/>
    </row>
    <row r="222" spans="2:3" x14ac:dyDescent="0.25">
      <c r="B222" s="3"/>
      <c r="C222" s="3"/>
    </row>
    <row r="223" spans="2:3" x14ac:dyDescent="0.25">
      <c r="B223" s="3"/>
      <c r="C223" s="3"/>
    </row>
    <row r="224" spans="2:3" x14ac:dyDescent="0.25">
      <c r="B224" s="3"/>
      <c r="C224" s="3"/>
    </row>
    <row r="225" spans="2:3" x14ac:dyDescent="0.25">
      <c r="B225" s="3"/>
      <c r="C225" s="3"/>
    </row>
    <row r="226" spans="2:3" x14ac:dyDescent="0.25">
      <c r="B226" s="3"/>
      <c r="C226" s="3"/>
    </row>
    <row r="227" spans="2:3" x14ac:dyDescent="0.25">
      <c r="B227" s="3"/>
      <c r="C227" s="3"/>
    </row>
    <row r="228" spans="2:3" x14ac:dyDescent="0.25">
      <c r="B228" s="3"/>
      <c r="C228" s="3"/>
    </row>
    <row r="229" spans="2:3" x14ac:dyDescent="0.25">
      <c r="B229" s="3"/>
      <c r="C229" s="3"/>
    </row>
    <row r="230" spans="2:3" x14ac:dyDescent="0.25">
      <c r="B230" s="3"/>
      <c r="C230" s="3"/>
    </row>
    <row r="231" spans="2:3" x14ac:dyDescent="0.25">
      <c r="B231" s="3"/>
      <c r="C231" s="3"/>
    </row>
    <row r="232" spans="2:3" x14ac:dyDescent="0.25">
      <c r="B232" s="3"/>
      <c r="C232" s="3"/>
    </row>
    <row r="233" spans="2:3" x14ac:dyDescent="0.25">
      <c r="B233" s="3"/>
      <c r="C233" s="3"/>
    </row>
    <row r="234" spans="2:3" x14ac:dyDescent="0.25">
      <c r="B234" s="3"/>
      <c r="C234" s="3"/>
    </row>
    <row r="235" spans="2:3" x14ac:dyDescent="0.25">
      <c r="B235" s="3"/>
      <c r="C235" s="3"/>
    </row>
    <row r="236" spans="2:3" x14ac:dyDescent="0.25">
      <c r="B236" s="3"/>
      <c r="C236" s="3"/>
    </row>
    <row r="237" spans="2:3" x14ac:dyDescent="0.25">
      <c r="B237" s="3"/>
      <c r="C237" s="3"/>
    </row>
    <row r="238" spans="2:3" x14ac:dyDescent="0.25">
      <c r="B238" s="3"/>
      <c r="C238" s="3"/>
    </row>
    <row r="239" spans="2:3" x14ac:dyDescent="0.25">
      <c r="B239" s="3"/>
      <c r="C239" s="3"/>
    </row>
    <row r="240" spans="2:3" x14ac:dyDescent="0.25">
      <c r="B240" s="3"/>
      <c r="C240" s="3"/>
    </row>
    <row r="241" spans="2:3" x14ac:dyDescent="0.25">
      <c r="B241" s="3"/>
      <c r="C241" s="3"/>
    </row>
    <row r="242" spans="2:3" x14ac:dyDescent="0.25">
      <c r="B242" s="3"/>
      <c r="C242" s="3"/>
    </row>
    <row r="243" spans="2:3" x14ac:dyDescent="0.25">
      <c r="B243" s="3"/>
      <c r="C243" s="3"/>
    </row>
    <row r="244" spans="2:3" x14ac:dyDescent="0.25">
      <c r="B244" s="3"/>
      <c r="C244" s="3"/>
    </row>
    <row r="245" spans="2:3" x14ac:dyDescent="0.25">
      <c r="B245" s="3"/>
      <c r="C245" s="3"/>
    </row>
    <row r="246" spans="2:3" x14ac:dyDescent="0.25">
      <c r="B246" s="3"/>
      <c r="C246" s="3"/>
    </row>
    <row r="247" spans="2:3" x14ac:dyDescent="0.25">
      <c r="B247" s="3"/>
      <c r="C247" s="3"/>
    </row>
    <row r="248" spans="2:3" x14ac:dyDescent="0.25">
      <c r="B248" s="3"/>
      <c r="C248" s="3"/>
    </row>
    <row r="249" spans="2:3" x14ac:dyDescent="0.25">
      <c r="B249" s="3"/>
      <c r="C249" s="3"/>
    </row>
    <row r="250" spans="2:3" x14ac:dyDescent="0.25">
      <c r="B250" s="3"/>
      <c r="C250" s="3"/>
    </row>
    <row r="251" spans="2:3" x14ac:dyDescent="0.25">
      <c r="B251" s="3"/>
      <c r="C251" s="3"/>
    </row>
    <row r="252" spans="2:3" x14ac:dyDescent="0.25">
      <c r="B252" s="3"/>
      <c r="C252" s="3"/>
    </row>
    <row r="253" spans="2:3" x14ac:dyDescent="0.25">
      <c r="B253" s="3"/>
      <c r="C253" s="3"/>
    </row>
    <row r="254" spans="2:3" x14ac:dyDescent="0.25">
      <c r="B254" s="3"/>
      <c r="C254" s="3"/>
    </row>
    <row r="255" spans="2:3" x14ac:dyDescent="0.25">
      <c r="B255" s="3"/>
      <c r="C255" s="3"/>
    </row>
    <row r="256" spans="2:3" x14ac:dyDescent="0.25">
      <c r="B256" s="3"/>
      <c r="C256" s="3"/>
    </row>
    <row r="257" spans="2:3" x14ac:dyDescent="0.25">
      <c r="B257" s="3"/>
      <c r="C257" s="3"/>
    </row>
    <row r="258" spans="2:3" x14ac:dyDescent="0.25">
      <c r="B258" s="3"/>
      <c r="C258" s="3"/>
    </row>
    <row r="259" spans="2:3" x14ac:dyDescent="0.25">
      <c r="B259" s="3"/>
      <c r="C259" s="3"/>
    </row>
    <row r="260" spans="2:3" x14ac:dyDescent="0.25">
      <c r="B260" s="3"/>
      <c r="C260" s="3"/>
    </row>
    <row r="261" spans="2:3" x14ac:dyDescent="0.25">
      <c r="B261" s="3"/>
      <c r="C261" s="3"/>
    </row>
    <row r="262" spans="2:3" x14ac:dyDescent="0.25">
      <c r="B262" s="3"/>
      <c r="C262" s="3"/>
    </row>
    <row r="263" spans="2:3" x14ac:dyDescent="0.25">
      <c r="B263" s="3"/>
      <c r="C263" s="3"/>
    </row>
    <row r="264" spans="2:3" x14ac:dyDescent="0.25">
      <c r="B264" s="3"/>
      <c r="C264" s="3"/>
    </row>
    <row r="265" spans="2:3" x14ac:dyDescent="0.25">
      <c r="B265" s="3"/>
      <c r="C265" s="3"/>
    </row>
    <row r="266" spans="2:3" x14ac:dyDescent="0.25">
      <c r="B266" s="3"/>
      <c r="C266" s="3"/>
    </row>
    <row r="267" spans="2:3" x14ac:dyDescent="0.25">
      <c r="B267" s="3"/>
      <c r="C267" s="3"/>
    </row>
    <row r="268" spans="2:3" x14ac:dyDescent="0.25">
      <c r="B268" s="3"/>
      <c r="C268" s="3"/>
    </row>
    <row r="269" spans="2:3" x14ac:dyDescent="0.25">
      <c r="B269" s="3"/>
      <c r="C269" s="3"/>
    </row>
    <row r="270" spans="2:3" x14ac:dyDescent="0.25">
      <c r="B270" s="3"/>
      <c r="C270" s="3"/>
    </row>
    <row r="271" spans="2:3" x14ac:dyDescent="0.25">
      <c r="B271" s="3"/>
      <c r="C271" s="3"/>
    </row>
    <row r="272" spans="2:3" x14ac:dyDescent="0.25">
      <c r="B272" s="3"/>
      <c r="C272" s="3"/>
    </row>
    <row r="273" spans="2:3" x14ac:dyDescent="0.25">
      <c r="B273" s="3"/>
      <c r="C273" s="3"/>
    </row>
    <row r="274" spans="2:3" x14ac:dyDescent="0.25">
      <c r="B274" s="3"/>
      <c r="C274" s="3"/>
    </row>
    <row r="275" spans="2:3" x14ac:dyDescent="0.25">
      <c r="B275" s="3"/>
      <c r="C275" s="3"/>
    </row>
    <row r="276" spans="2:3" x14ac:dyDescent="0.25">
      <c r="B276" s="3"/>
      <c r="C276" s="3"/>
    </row>
    <row r="277" spans="2:3" x14ac:dyDescent="0.25">
      <c r="B277" s="3"/>
      <c r="C277" s="3"/>
    </row>
    <row r="278" spans="2:3" x14ac:dyDescent="0.25">
      <c r="B278" s="3"/>
      <c r="C278" s="3"/>
    </row>
    <row r="279" spans="2:3" x14ac:dyDescent="0.25">
      <c r="B279" s="3"/>
      <c r="C279" s="3"/>
    </row>
    <row r="280" spans="2:3" x14ac:dyDescent="0.25">
      <c r="B280" s="3"/>
      <c r="C280" s="3"/>
    </row>
    <row r="281" spans="2:3" x14ac:dyDescent="0.25">
      <c r="B281" s="3"/>
      <c r="C281" s="3"/>
    </row>
    <row r="282" spans="2:3" x14ac:dyDescent="0.25">
      <c r="B282" s="3"/>
      <c r="C282" s="3"/>
    </row>
    <row r="283" spans="2:3" x14ac:dyDescent="0.25">
      <c r="B283" s="3"/>
      <c r="C283" s="3"/>
    </row>
    <row r="284" spans="2:3" x14ac:dyDescent="0.25">
      <c r="B284" s="3"/>
      <c r="C284" s="3"/>
    </row>
    <row r="285" spans="2:3" x14ac:dyDescent="0.25">
      <c r="B285" s="3"/>
      <c r="C285" s="3"/>
    </row>
    <row r="286" spans="2:3" x14ac:dyDescent="0.25">
      <c r="B286" s="3"/>
      <c r="C286" s="3"/>
    </row>
    <row r="287" spans="2:3" x14ac:dyDescent="0.25">
      <c r="B287" s="3"/>
      <c r="C287" s="3"/>
    </row>
    <row r="288" spans="2:3" x14ac:dyDescent="0.25">
      <c r="B288" s="3"/>
      <c r="C288" s="3"/>
    </row>
    <row r="289" spans="2:3" x14ac:dyDescent="0.25">
      <c r="B289" s="3"/>
      <c r="C289" s="3"/>
    </row>
    <row r="290" spans="2:3" x14ac:dyDescent="0.25">
      <c r="B290" s="3"/>
      <c r="C290" s="3"/>
    </row>
    <row r="291" spans="2:3" x14ac:dyDescent="0.25">
      <c r="B291" s="3"/>
      <c r="C291" s="3"/>
    </row>
    <row r="292" spans="2:3" x14ac:dyDescent="0.25">
      <c r="B292" s="3"/>
      <c r="C292" s="3"/>
    </row>
    <row r="293" spans="2:3" x14ac:dyDescent="0.25">
      <c r="B293" s="3"/>
      <c r="C293" s="3"/>
    </row>
    <row r="294" spans="2:3" x14ac:dyDescent="0.25">
      <c r="B294" s="3"/>
      <c r="C294" s="3"/>
    </row>
    <row r="295" spans="2:3" x14ac:dyDescent="0.25">
      <c r="B295" s="3"/>
      <c r="C295" s="3"/>
    </row>
    <row r="296" spans="2:3" x14ac:dyDescent="0.25">
      <c r="B296" s="3"/>
      <c r="C296" s="3"/>
    </row>
    <row r="297" spans="2:3" x14ac:dyDescent="0.25">
      <c r="B297" s="3"/>
      <c r="C297" s="3"/>
    </row>
    <row r="298" spans="2:3" x14ac:dyDescent="0.25">
      <c r="B298" s="3"/>
      <c r="C298" s="3"/>
    </row>
    <row r="299" spans="2:3" x14ac:dyDescent="0.25">
      <c r="B299" s="3"/>
      <c r="C299" s="3"/>
    </row>
    <row r="300" spans="2:3" x14ac:dyDescent="0.25">
      <c r="B300" s="3"/>
      <c r="C300" s="3"/>
    </row>
    <row r="301" spans="2:3" x14ac:dyDescent="0.25">
      <c r="B301" s="3"/>
      <c r="C301" s="3"/>
    </row>
    <row r="302" spans="2:3" x14ac:dyDescent="0.25">
      <c r="B302" s="3"/>
      <c r="C302" s="3"/>
    </row>
    <row r="303" spans="2:3" x14ac:dyDescent="0.25">
      <c r="B303" s="3"/>
      <c r="C303" s="3"/>
    </row>
    <row r="304" spans="2:3" x14ac:dyDescent="0.25">
      <c r="B304" s="3"/>
      <c r="C304" s="3"/>
    </row>
    <row r="305" spans="2:3" x14ac:dyDescent="0.25">
      <c r="B305" s="3"/>
      <c r="C305" s="3"/>
    </row>
    <row r="306" spans="2:3" x14ac:dyDescent="0.25">
      <c r="B306" s="3"/>
      <c r="C306" s="3"/>
    </row>
    <row r="307" spans="2:3" x14ac:dyDescent="0.25">
      <c r="B307" s="3"/>
      <c r="C307" s="3"/>
    </row>
    <row r="308" spans="2:3" x14ac:dyDescent="0.25">
      <c r="B308" s="3"/>
      <c r="C308" s="3"/>
    </row>
    <row r="309" spans="2:3" x14ac:dyDescent="0.25">
      <c r="B309" s="3"/>
      <c r="C309" s="3"/>
    </row>
    <row r="310" spans="2:3" x14ac:dyDescent="0.25">
      <c r="B310" s="3"/>
      <c r="C310" s="3"/>
    </row>
    <row r="311" spans="2:3" x14ac:dyDescent="0.25">
      <c r="B311" s="3"/>
      <c r="C311" s="3"/>
    </row>
    <row r="312" spans="2:3" x14ac:dyDescent="0.25">
      <c r="B312" s="3"/>
      <c r="C312" s="3"/>
    </row>
    <row r="313" spans="2:3" x14ac:dyDescent="0.25">
      <c r="B313" s="3"/>
      <c r="C313" s="3"/>
    </row>
    <row r="314" spans="2:3" x14ac:dyDescent="0.25">
      <c r="B314" s="3"/>
      <c r="C314" s="3"/>
    </row>
    <row r="315" spans="2:3" x14ac:dyDescent="0.25">
      <c r="B315" s="3"/>
      <c r="C315" s="3"/>
    </row>
    <row r="316" spans="2:3" x14ac:dyDescent="0.25">
      <c r="B316" s="3"/>
      <c r="C316" s="3"/>
    </row>
    <row r="317" spans="2:3" x14ac:dyDescent="0.25">
      <c r="B317" s="3"/>
      <c r="C317" s="3"/>
    </row>
    <row r="318" spans="2:3" x14ac:dyDescent="0.25">
      <c r="B318" s="3"/>
      <c r="C318" s="3"/>
    </row>
    <row r="319" spans="2:3" x14ac:dyDescent="0.25">
      <c r="B319" s="3"/>
      <c r="C319" s="3"/>
    </row>
    <row r="320" spans="2:3" x14ac:dyDescent="0.25">
      <c r="B320" s="3"/>
      <c r="C320" s="3"/>
    </row>
    <row r="321" spans="2:3" x14ac:dyDescent="0.25">
      <c r="B321" s="3"/>
      <c r="C321" s="3"/>
    </row>
    <row r="322" spans="2:3" x14ac:dyDescent="0.25">
      <c r="B322" s="3"/>
      <c r="C322" s="3"/>
    </row>
    <row r="323" spans="2:3" x14ac:dyDescent="0.25">
      <c r="B323" s="3"/>
      <c r="C323" s="3"/>
    </row>
    <row r="324" spans="2:3" x14ac:dyDescent="0.25">
      <c r="B324" s="3"/>
      <c r="C324" s="3"/>
    </row>
    <row r="325" spans="2:3" x14ac:dyDescent="0.25">
      <c r="B325" s="3"/>
      <c r="C325" s="3"/>
    </row>
    <row r="326" spans="2:3" x14ac:dyDescent="0.25">
      <c r="B326" s="3"/>
      <c r="C326" s="3"/>
    </row>
    <row r="327" spans="2:3" x14ac:dyDescent="0.25">
      <c r="B327" s="3"/>
      <c r="C327" s="3"/>
    </row>
    <row r="328" spans="2:3" x14ac:dyDescent="0.25">
      <c r="B328" s="3"/>
      <c r="C328" s="3"/>
    </row>
    <row r="329" spans="2:3" x14ac:dyDescent="0.25">
      <c r="B329" s="3"/>
      <c r="C329" s="3"/>
    </row>
    <row r="330" spans="2:3" x14ac:dyDescent="0.25">
      <c r="B330" s="3"/>
      <c r="C330" s="3"/>
    </row>
    <row r="331" spans="2:3" x14ac:dyDescent="0.25">
      <c r="B331" s="3"/>
      <c r="C331" s="3"/>
    </row>
    <row r="332" spans="2:3" x14ac:dyDescent="0.25">
      <c r="B332" s="3"/>
      <c r="C332" s="3"/>
    </row>
    <row r="333" spans="2:3" x14ac:dyDescent="0.25">
      <c r="B333" s="3"/>
      <c r="C333" s="3"/>
    </row>
    <row r="334" spans="2:3" x14ac:dyDescent="0.25">
      <c r="B334" s="3"/>
      <c r="C334" s="3"/>
    </row>
    <row r="335" spans="2:3" x14ac:dyDescent="0.25">
      <c r="B335" s="3"/>
      <c r="C335" s="3"/>
    </row>
    <row r="336" spans="2:3" x14ac:dyDescent="0.25">
      <c r="B336" s="3"/>
      <c r="C336" s="3"/>
    </row>
    <row r="337" spans="2:3" x14ac:dyDescent="0.25">
      <c r="B337" s="3"/>
      <c r="C337" s="3"/>
    </row>
    <row r="338" spans="2:3" x14ac:dyDescent="0.25">
      <c r="B338" s="3"/>
      <c r="C338" s="3"/>
    </row>
    <row r="339" spans="2:3" x14ac:dyDescent="0.25">
      <c r="B339" s="3"/>
      <c r="C339" s="3"/>
    </row>
    <row r="340" spans="2:3" x14ac:dyDescent="0.25">
      <c r="B340" s="3"/>
      <c r="C340" s="3"/>
    </row>
    <row r="341" spans="2:3" x14ac:dyDescent="0.25">
      <c r="B341" s="3"/>
      <c r="C341" s="3"/>
    </row>
    <row r="342" spans="2:3" x14ac:dyDescent="0.25">
      <c r="B342" s="3"/>
      <c r="C342" s="3"/>
    </row>
    <row r="343" spans="2:3" x14ac:dyDescent="0.25">
      <c r="B343" s="3"/>
      <c r="C343" s="3"/>
    </row>
    <row r="344" spans="2:3" x14ac:dyDescent="0.25">
      <c r="B344" s="3"/>
      <c r="C344" s="3"/>
    </row>
    <row r="345" spans="2:3" x14ac:dyDescent="0.25">
      <c r="B345" s="3"/>
      <c r="C345" s="3"/>
    </row>
    <row r="346" spans="2:3" x14ac:dyDescent="0.25">
      <c r="B346" s="3"/>
      <c r="C346" s="3"/>
    </row>
    <row r="347" spans="2:3" x14ac:dyDescent="0.25">
      <c r="B347" s="3"/>
      <c r="C347" s="3"/>
    </row>
    <row r="348" spans="2:3" x14ac:dyDescent="0.25">
      <c r="B348" s="3"/>
      <c r="C348" s="3"/>
    </row>
    <row r="349" spans="2:3" x14ac:dyDescent="0.25">
      <c r="B349" s="3"/>
      <c r="C349" s="3"/>
    </row>
    <row r="350" spans="2:3" x14ac:dyDescent="0.25">
      <c r="B350" s="3"/>
      <c r="C350" s="3"/>
    </row>
    <row r="351" spans="2:3" x14ac:dyDescent="0.25">
      <c r="B351" s="3"/>
      <c r="C351" s="3"/>
    </row>
    <row r="352" spans="2:3" x14ac:dyDescent="0.25">
      <c r="B352" s="3"/>
      <c r="C352" s="3"/>
    </row>
    <row r="353" spans="2:3" x14ac:dyDescent="0.25">
      <c r="B353" s="3"/>
      <c r="C353" s="3"/>
    </row>
    <row r="354" spans="2:3" x14ac:dyDescent="0.25">
      <c r="B354" s="3"/>
      <c r="C354" s="3"/>
    </row>
    <row r="355" spans="2:3" x14ac:dyDescent="0.25">
      <c r="B355" s="3"/>
      <c r="C355" s="3"/>
    </row>
    <row r="356" spans="2:3" x14ac:dyDescent="0.25">
      <c r="B356" s="3"/>
      <c r="C356" s="3"/>
    </row>
    <row r="357" spans="2:3" x14ac:dyDescent="0.25">
      <c r="B357" s="3"/>
      <c r="C357" s="3"/>
    </row>
    <row r="358" spans="2:3" x14ac:dyDescent="0.25">
      <c r="B358" s="3"/>
      <c r="C358" s="3"/>
    </row>
    <row r="359" spans="2:3" x14ac:dyDescent="0.25">
      <c r="B359" s="3"/>
      <c r="C359" s="3"/>
    </row>
    <row r="360" spans="2:3" x14ac:dyDescent="0.25">
      <c r="B360" s="3"/>
      <c r="C360" s="3"/>
    </row>
    <row r="361" spans="2:3" x14ac:dyDescent="0.25">
      <c r="B361" s="3"/>
      <c r="C361" s="3"/>
    </row>
    <row r="362" spans="2:3" x14ac:dyDescent="0.25">
      <c r="B362" s="3"/>
      <c r="C362" s="3"/>
    </row>
    <row r="363" spans="2:3" x14ac:dyDescent="0.25">
      <c r="B363" s="3"/>
      <c r="C363" s="3"/>
    </row>
    <row r="364" spans="2:3" x14ac:dyDescent="0.25">
      <c r="B364" s="3"/>
      <c r="C364" s="3"/>
    </row>
    <row r="365" spans="2:3" x14ac:dyDescent="0.25">
      <c r="B365" s="3"/>
      <c r="C365" s="3"/>
    </row>
    <row r="366" spans="2:3" x14ac:dyDescent="0.25">
      <c r="B366" s="3"/>
      <c r="C366" s="3"/>
    </row>
    <row r="367" spans="2:3" x14ac:dyDescent="0.25">
      <c r="B367" s="3"/>
      <c r="C367" s="3"/>
    </row>
    <row r="368" spans="2:3" x14ac:dyDescent="0.25">
      <c r="B368" s="3"/>
      <c r="C368" s="3"/>
    </row>
    <row r="369" spans="2:3" x14ac:dyDescent="0.25">
      <c r="B369" s="3"/>
      <c r="C369" s="3"/>
    </row>
    <row r="370" spans="2:3" x14ac:dyDescent="0.25">
      <c r="B370" s="3"/>
      <c r="C370" s="3"/>
    </row>
    <row r="371" spans="2:3" x14ac:dyDescent="0.25">
      <c r="B371" s="3"/>
      <c r="C371" s="3"/>
    </row>
    <row r="372" spans="2:3" x14ac:dyDescent="0.25">
      <c r="B372" s="3"/>
      <c r="C372" s="3"/>
    </row>
    <row r="373" spans="2:3" x14ac:dyDescent="0.25">
      <c r="B373" s="3"/>
      <c r="C373" s="3"/>
    </row>
    <row r="374" spans="2:3" x14ac:dyDescent="0.25">
      <c r="B374" s="3"/>
      <c r="C374" s="3"/>
    </row>
    <row r="375" spans="2:3" x14ac:dyDescent="0.25">
      <c r="B375" s="3"/>
      <c r="C375" s="3"/>
    </row>
    <row r="376" spans="2:3" x14ac:dyDescent="0.25">
      <c r="B376" s="3"/>
      <c r="C376" s="3"/>
    </row>
    <row r="377" spans="2:3" x14ac:dyDescent="0.25">
      <c r="B377" s="3"/>
      <c r="C377" s="3"/>
    </row>
    <row r="378" spans="2:3" x14ac:dyDescent="0.25">
      <c r="B378" s="3"/>
      <c r="C378" s="3"/>
    </row>
    <row r="379" spans="2:3" x14ac:dyDescent="0.25">
      <c r="B379" s="3"/>
      <c r="C379" s="3"/>
    </row>
    <row r="380" spans="2:3" x14ac:dyDescent="0.25">
      <c r="B380" s="3"/>
      <c r="C380" s="3"/>
    </row>
    <row r="381" spans="2:3" x14ac:dyDescent="0.25">
      <c r="B381" s="3"/>
      <c r="C381" s="3"/>
    </row>
    <row r="382" spans="2:3" x14ac:dyDescent="0.25">
      <c r="B382" s="3"/>
      <c r="C382" s="3"/>
    </row>
    <row r="383" spans="2:3" x14ac:dyDescent="0.25">
      <c r="B383" s="3"/>
      <c r="C383" s="3"/>
    </row>
    <row r="384" spans="2:3" x14ac:dyDescent="0.25">
      <c r="B384" s="3"/>
      <c r="C384" s="3"/>
    </row>
    <row r="385" spans="2:3" x14ac:dyDescent="0.25">
      <c r="B385" s="3"/>
      <c r="C385" s="3"/>
    </row>
    <row r="386" spans="2:3" x14ac:dyDescent="0.25">
      <c r="B386" s="3"/>
      <c r="C386" s="3"/>
    </row>
    <row r="387" spans="2:3" x14ac:dyDescent="0.25">
      <c r="B387" s="3"/>
      <c r="C387" s="3"/>
    </row>
    <row r="388" spans="2:3" x14ac:dyDescent="0.25">
      <c r="B388" s="3"/>
      <c r="C388" s="3"/>
    </row>
    <row r="389" spans="2:3" x14ac:dyDescent="0.25">
      <c r="B389" s="3"/>
      <c r="C389" s="3"/>
    </row>
    <row r="390" spans="2:3" x14ac:dyDescent="0.25">
      <c r="B390" s="3"/>
      <c r="C390" s="3"/>
    </row>
    <row r="391" spans="2:3" x14ac:dyDescent="0.25">
      <c r="B391" s="3"/>
      <c r="C391" s="3"/>
    </row>
    <row r="392" spans="2:3" x14ac:dyDescent="0.25">
      <c r="B392" s="3"/>
      <c r="C392" s="3"/>
    </row>
    <row r="393" spans="2:3" x14ac:dyDescent="0.25">
      <c r="B393" s="3"/>
      <c r="C393" s="3"/>
    </row>
    <row r="394" spans="2:3" x14ac:dyDescent="0.25">
      <c r="B394" s="3"/>
      <c r="C394" s="3"/>
    </row>
    <row r="395" spans="2:3" x14ac:dyDescent="0.25">
      <c r="B395" s="3"/>
      <c r="C395" s="3"/>
    </row>
    <row r="396" spans="2:3" x14ac:dyDescent="0.25">
      <c r="B396" s="3"/>
      <c r="C396" s="3"/>
    </row>
    <row r="397" spans="2:3" x14ac:dyDescent="0.25">
      <c r="B397" s="3"/>
      <c r="C397" s="3"/>
    </row>
    <row r="398" spans="2:3" x14ac:dyDescent="0.25">
      <c r="B398" s="3"/>
      <c r="C398" s="3"/>
    </row>
    <row r="399" spans="2:3" x14ac:dyDescent="0.25">
      <c r="B399" s="3"/>
      <c r="C399" s="3"/>
    </row>
    <row r="400" spans="2:3" x14ac:dyDescent="0.25">
      <c r="B400" s="3"/>
      <c r="C400" s="3"/>
    </row>
    <row r="401" spans="2:3" x14ac:dyDescent="0.25">
      <c r="B401" s="3"/>
      <c r="C401" s="3"/>
    </row>
    <row r="402" spans="2:3" x14ac:dyDescent="0.25">
      <c r="B402" s="3"/>
      <c r="C402" s="3"/>
    </row>
    <row r="403" spans="2:3" x14ac:dyDescent="0.25">
      <c r="B403" s="3"/>
      <c r="C403" s="3"/>
    </row>
    <row r="404" spans="2:3" x14ac:dyDescent="0.25">
      <c r="B404" s="3"/>
      <c r="C404" s="3"/>
    </row>
    <row r="405" spans="2:3" x14ac:dyDescent="0.25">
      <c r="B405" s="3"/>
      <c r="C405" s="3"/>
    </row>
    <row r="406" spans="2:3" x14ac:dyDescent="0.25">
      <c r="B406" s="3"/>
      <c r="C406" s="3"/>
    </row>
    <row r="407" spans="2:3" x14ac:dyDescent="0.25">
      <c r="B407" s="3"/>
      <c r="C407" s="3"/>
    </row>
    <row r="408" spans="2:3" x14ac:dyDescent="0.25">
      <c r="B408" s="3"/>
      <c r="C408" s="3"/>
    </row>
    <row r="409" spans="2:3" x14ac:dyDescent="0.25">
      <c r="B409" s="3"/>
      <c r="C409" s="3"/>
    </row>
    <row r="410" spans="2:3" x14ac:dyDescent="0.25">
      <c r="B410" s="3"/>
      <c r="C410" s="3"/>
    </row>
    <row r="411" spans="2:3" x14ac:dyDescent="0.25">
      <c r="B411" s="3"/>
      <c r="C411" s="3"/>
    </row>
    <row r="412" spans="2:3" x14ac:dyDescent="0.25">
      <c r="B412" s="3"/>
      <c r="C412" s="3"/>
    </row>
    <row r="413" spans="2:3" x14ac:dyDescent="0.25">
      <c r="B413" s="3"/>
      <c r="C413" s="3"/>
    </row>
    <row r="414" spans="2:3" x14ac:dyDescent="0.25">
      <c r="B414" s="3"/>
      <c r="C414" s="3"/>
    </row>
    <row r="415" spans="2:3" x14ac:dyDescent="0.25">
      <c r="B415" s="3"/>
      <c r="C415" s="3"/>
    </row>
    <row r="416" spans="2:3" x14ac:dyDescent="0.25">
      <c r="B416" s="3"/>
      <c r="C416" s="3"/>
    </row>
    <row r="417" spans="2:3" x14ac:dyDescent="0.25">
      <c r="B417" s="3"/>
      <c r="C417" s="3"/>
    </row>
    <row r="418" spans="2:3" x14ac:dyDescent="0.25">
      <c r="B418" s="3"/>
      <c r="C418" s="3"/>
    </row>
    <row r="419" spans="2:3" x14ac:dyDescent="0.25">
      <c r="B419" s="3"/>
      <c r="C419" s="3"/>
    </row>
    <row r="420" spans="2:3" x14ac:dyDescent="0.25">
      <c r="B420" s="3"/>
      <c r="C420" s="3"/>
    </row>
    <row r="421" spans="2:3" x14ac:dyDescent="0.25">
      <c r="B421" s="3"/>
      <c r="C421" s="3"/>
    </row>
    <row r="422" spans="2:3" x14ac:dyDescent="0.25">
      <c r="B422" s="3"/>
      <c r="C422" s="3"/>
    </row>
    <row r="423" spans="2:3" x14ac:dyDescent="0.25">
      <c r="B423" s="3"/>
      <c r="C423" s="3"/>
    </row>
    <row r="424" spans="2:3" x14ac:dyDescent="0.25">
      <c r="B424" s="3"/>
      <c r="C424" s="3"/>
    </row>
    <row r="425" spans="2:3" x14ac:dyDescent="0.25">
      <c r="B425" s="3"/>
      <c r="C425" s="3"/>
    </row>
    <row r="426" spans="2:3" x14ac:dyDescent="0.25">
      <c r="B426" s="3"/>
      <c r="C426" s="3"/>
    </row>
    <row r="427" spans="2:3" x14ac:dyDescent="0.25">
      <c r="B427" s="3"/>
      <c r="C427" s="3"/>
    </row>
    <row r="428" spans="2:3" x14ac:dyDescent="0.25">
      <c r="B428" s="3"/>
      <c r="C428" s="3"/>
    </row>
    <row r="429" spans="2:3" x14ac:dyDescent="0.25">
      <c r="B429" s="3"/>
      <c r="C429" s="3"/>
    </row>
    <row r="430" spans="2:3" x14ac:dyDescent="0.25">
      <c r="B430" s="3"/>
      <c r="C430" s="3"/>
    </row>
    <row r="431" spans="2:3" x14ac:dyDescent="0.25">
      <c r="B431" s="3"/>
      <c r="C431" s="3"/>
    </row>
    <row r="432" spans="2:3" x14ac:dyDescent="0.25">
      <c r="B432" s="3"/>
      <c r="C432" s="3"/>
    </row>
    <row r="433" spans="2:3" x14ac:dyDescent="0.25">
      <c r="B433" s="3"/>
      <c r="C433" s="3"/>
    </row>
    <row r="434" spans="2:3" x14ac:dyDescent="0.25">
      <c r="B434" s="3"/>
      <c r="C434" s="3"/>
    </row>
    <row r="435" spans="2:3" x14ac:dyDescent="0.25">
      <c r="B435" s="3"/>
      <c r="C435" s="3"/>
    </row>
    <row r="436" spans="2:3" x14ac:dyDescent="0.25">
      <c r="B436" s="3"/>
      <c r="C436" s="3"/>
    </row>
    <row r="437" spans="2:3" x14ac:dyDescent="0.25">
      <c r="B437" s="3"/>
      <c r="C437" s="3"/>
    </row>
    <row r="438" spans="2:3" x14ac:dyDescent="0.25">
      <c r="B438" s="3"/>
      <c r="C438" s="3"/>
    </row>
    <row r="439" spans="2:3" x14ac:dyDescent="0.25">
      <c r="B439" s="3"/>
      <c r="C439" s="3"/>
    </row>
    <row r="440" spans="2:3" x14ac:dyDescent="0.25">
      <c r="B440" s="3"/>
      <c r="C440" s="3"/>
    </row>
    <row r="441" spans="2:3" x14ac:dyDescent="0.25">
      <c r="B441" s="3"/>
      <c r="C441" s="3"/>
    </row>
    <row r="442" spans="2:3" x14ac:dyDescent="0.25">
      <c r="B442" s="3"/>
      <c r="C442" s="3"/>
    </row>
    <row r="443" spans="2:3" x14ac:dyDescent="0.25">
      <c r="B443" s="3"/>
      <c r="C443" s="3"/>
    </row>
    <row r="444" spans="2:3" x14ac:dyDescent="0.25">
      <c r="B444" s="3"/>
      <c r="C444" s="3"/>
    </row>
    <row r="445" spans="2:3" x14ac:dyDescent="0.25">
      <c r="B445" s="3"/>
      <c r="C445" s="3"/>
    </row>
    <row r="446" spans="2:3" x14ac:dyDescent="0.25">
      <c r="B446" s="3"/>
      <c r="C446" s="3"/>
    </row>
    <row r="447" spans="2:3" x14ac:dyDescent="0.25">
      <c r="B447" s="3"/>
      <c r="C447" s="3"/>
    </row>
    <row r="448" spans="2:3" x14ac:dyDescent="0.25">
      <c r="B448" s="3"/>
      <c r="C448" s="3"/>
    </row>
    <row r="449" spans="2:3" x14ac:dyDescent="0.25">
      <c r="B449" s="3"/>
      <c r="C449" s="3"/>
    </row>
    <row r="450" spans="2:3" x14ac:dyDescent="0.25">
      <c r="B450" s="3"/>
      <c r="C450" s="3"/>
    </row>
    <row r="451" spans="2:3" x14ac:dyDescent="0.25">
      <c r="B451" s="3"/>
      <c r="C451" s="3"/>
    </row>
    <row r="452" spans="2:3" x14ac:dyDescent="0.25">
      <c r="B452" s="3"/>
      <c r="C452" s="3"/>
    </row>
    <row r="453" spans="2:3" x14ac:dyDescent="0.25">
      <c r="B453" s="3"/>
      <c r="C453" s="3"/>
    </row>
    <row r="454" spans="2:3" x14ac:dyDescent="0.25">
      <c r="B454" s="3"/>
      <c r="C454" s="3"/>
    </row>
    <row r="455" spans="2:3" x14ac:dyDescent="0.25">
      <c r="B455" s="3"/>
      <c r="C455" s="3"/>
    </row>
    <row r="456" spans="2:3" x14ac:dyDescent="0.25">
      <c r="B456" s="3"/>
      <c r="C456" s="3"/>
    </row>
    <row r="457" spans="2:3" x14ac:dyDescent="0.25">
      <c r="B457" s="3"/>
      <c r="C457" s="3"/>
    </row>
    <row r="458" spans="2:3" x14ac:dyDescent="0.25">
      <c r="B458" s="3"/>
      <c r="C458" s="3"/>
    </row>
    <row r="459" spans="2:3" x14ac:dyDescent="0.25">
      <c r="B459" s="3"/>
      <c r="C459" s="3"/>
    </row>
    <row r="460" spans="2:3" x14ac:dyDescent="0.25">
      <c r="B460" s="3"/>
      <c r="C460" s="3"/>
    </row>
    <row r="461" spans="2:3" x14ac:dyDescent="0.25">
      <c r="B461" s="3"/>
      <c r="C461" s="3"/>
    </row>
    <row r="462" spans="2:3" x14ac:dyDescent="0.25">
      <c r="B462" s="3"/>
      <c r="C462" s="3"/>
    </row>
    <row r="463" spans="2:3" x14ac:dyDescent="0.25">
      <c r="B463" s="3"/>
      <c r="C463" s="3"/>
    </row>
    <row r="464" spans="2:3" x14ac:dyDescent="0.25">
      <c r="B464" s="3"/>
      <c r="C464" s="3"/>
    </row>
    <row r="465" spans="2:3" x14ac:dyDescent="0.25">
      <c r="B465" s="3"/>
      <c r="C465" s="3"/>
    </row>
    <row r="466" spans="2:3" x14ac:dyDescent="0.25">
      <c r="B466" s="3"/>
      <c r="C466" s="3"/>
    </row>
    <row r="467" spans="2:3" x14ac:dyDescent="0.25">
      <c r="B467" s="3"/>
      <c r="C467" s="3"/>
    </row>
    <row r="468" spans="2:3" x14ac:dyDescent="0.25">
      <c r="B468" s="3"/>
      <c r="C468" s="3"/>
    </row>
    <row r="469" spans="2:3" x14ac:dyDescent="0.25">
      <c r="B469" s="3"/>
      <c r="C469" s="3"/>
    </row>
    <row r="470" spans="2:3" x14ac:dyDescent="0.25">
      <c r="B470" s="3"/>
      <c r="C470" s="3"/>
    </row>
    <row r="471" spans="2:3" x14ac:dyDescent="0.25">
      <c r="B471" s="3"/>
      <c r="C471" s="3"/>
    </row>
    <row r="472" spans="2:3" x14ac:dyDescent="0.25">
      <c r="B472" s="3"/>
      <c r="C472" s="3"/>
    </row>
    <row r="473" spans="2:3" x14ac:dyDescent="0.25">
      <c r="B473" s="3"/>
      <c r="C473" s="3"/>
    </row>
    <row r="474" spans="2:3" x14ac:dyDescent="0.25">
      <c r="B474" s="3"/>
      <c r="C474" s="3"/>
    </row>
    <row r="475" spans="2:3" x14ac:dyDescent="0.25">
      <c r="B475" s="3"/>
      <c r="C475" s="3"/>
    </row>
    <row r="476" spans="2:3" x14ac:dyDescent="0.25">
      <c r="B476" s="3"/>
      <c r="C476" s="3"/>
    </row>
    <row r="477" spans="2:3" x14ac:dyDescent="0.25">
      <c r="B477" s="3"/>
      <c r="C477" s="3"/>
    </row>
    <row r="478" spans="2:3" x14ac:dyDescent="0.25">
      <c r="B478" s="3"/>
      <c r="C478" s="3"/>
    </row>
    <row r="479" spans="2:3" x14ac:dyDescent="0.25">
      <c r="B479" s="3"/>
      <c r="C479" s="3"/>
    </row>
    <row r="480" spans="2:3" x14ac:dyDescent="0.25">
      <c r="B480" s="3"/>
      <c r="C480" s="3"/>
    </row>
    <row r="481" spans="2:3" x14ac:dyDescent="0.25">
      <c r="B481" s="3"/>
      <c r="C481" s="3"/>
    </row>
    <row r="482" spans="2:3" x14ac:dyDescent="0.25">
      <c r="B482" s="3"/>
      <c r="C482" s="3"/>
    </row>
    <row r="483" spans="2:3" x14ac:dyDescent="0.25">
      <c r="B483" s="3"/>
      <c r="C483" s="3"/>
    </row>
    <row r="484" spans="2:3" x14ac:dyDescent="0.25">
      <c r="B484" s="3"/>
      <c r="C484" s="3"/>
    </row>
    <row r="485" spans="2:3" x14ac:dyDescent="0.25">
      <c r="B485" s="3"/>
      <c r="C485" s="3"/>
    </row>
    <row r="486" spans="2:3" x14ac:dyDescent="0.25">
      <c r="B486" s="3"/>
      <c r="C486" s="3"/>
    </row>
    <row r="487" spans="2:3" x14ac:dyDescent="0.25">
      <c r="B487" s="3"/>
      <c r="C487" s="3"/>
    </row>
    <row r="488" spans="2:3" x14ac:dyDescent="0.25">
      <c r="B488" s="3"/>
      <c r="C488" s="3"/>
    </row>
    <row r="489" spans="2:3" x14ac:dyDescent="0.25">
      <c r="B489" s="3"/>
      <c r="C489" s="3"/>
    </row>
    <row r="490" spans="2:3" x14ac:dyDescent="0.25">
      <c r="B490" s="3"/>
      <c r="C490" s="3"/>
    </row>
    <row r="491" spans="2:3" x14ac:dyDescent="0.25">
      <c r="B491" s="3"/>
      <c r="C491" s="3"/>
    </row>
    <row r="492" spans="2:3" x14ac:dyDescent="0.25">
      <c r="B492" s="3"/>
      <c r="C492" s="3"/>
    </row>
    <row r="493" spans="2:3" x14ac:dyDescent="0.25">
      <c r="B493" s="3"/>
      <c r="C493" s="3"/>
    </row>
    <row r="494" spans="2:3" x14ac:dyDescent="0.25">
      <c r="B494" s="3"/>
      <c r="C494" s="3"/>
    </row>
    <row r="495" spans="2:3" x14ac:dyDescent="0.25">
      <c r="B495" s="3"/>
      <c r="C495" s="3"/>
    </row>
    <row r="496" spans="2:3" x14ac:dyDescent="0.25">
      <c r="B496" s="3"/>
      <c r="C496" s="3"/>
    </row>
    <row r="497" spans="2:3" x14ac:dyDescent="0.25">
      <c r="B497" s="3"/>
      <c r="C497" s="3"/>
    </row>
    <row r="498" spans="2:3" x14ac:dyDescent="0.25">
      <c r="B498" s="3"/>
      <c r="C498" s="3"/>
    </row>
    <row r="499" spans="2:3" x14ac:dyDescent="0.25">
      <c r="B499" s="3"/>
      <c r="C499" s="3"/>
    </row>
    <row r="500" spans="2:3" x14ac:dyDescent="0.25">
      <c r="B500" s="3"/>
      <c r="C500" s="3"/>
    </row>
    <row r="501" spans="2:3" x14ac:dyDescent="0.25">
      <c r="B501" s="3"/>
      <c r="C501" s="3"/>
    </row>
    <row r="502" spans="2:3" x14ac:dyDescent="0.25">
      <c r="B502" s="3"/>
      <c r="C502" s="3"/>
    </row>
    <row r="503" spans="2:3" x14ac:dyDescent="0.25">
      <c r="B503" s="3"/>
      <c r="C503" s="3"/>
    </row>
    <row r="504" spans="2:3" x14ac:dyDescent="0.25">
      <c r="B504" s="3"/>
      <c r="C504" s="3"/>
    </row>
    <row r="505" spans="2:3" x14ac:dyDescent="0.25">
      <c r="B505" s="3"/>
      <c r="C505" s="3"/>
    </row>
    <row r="506" spans="2:3" x14ac:dyDescent="0.25">
      <c r="B506" s="3"/>
      <c r="C506" s="3"/>
    </row>
    <row r="507" spans="2:3" x14ac:dyDescent="0.25">
      <c r="B507" s="3"/>
      <c r="C507" s="3"/>
    </row>
    <row r="508" spans="2:3" x14ac:dyDescent="0.25">
      <c r="B508" s="3"/>
      <c r="C508" s="3"/>
    </row>
    <row r="509" spans="2:3" x14ac:dyDescent="0.25">
      <c r="B509" s="3"/>
      <c r="C509" s="3"/>
    </row>
    <row r="510" spans="2:3" x14ac:dyDescent="0.25">
      <c r="B510" s="3"/>
      <c r="C510" s="3"/>
    </row>
    <row r="511" spans="2:3" x14ac:dyDescent="0.25">
      <c r="B511" s="3"/>
      <c r="C511" s="3"/>
    </row>
    <row r="512" spans="2:3" x14ac:dyDescent="0.25">
      <c r="B512" s="3"/>
      <c r="C512" s="3"/>
    </row>
    <row r="513" spans="2:3" x14ac:dyDescent="0.25">
      <c r="B513" s="3"/>
      <c r="C513" s="3"/>
    </row>
    <row r="514" spans="2:3" x14ac:dyDescent="0.25">
      <c r="B514" s="3"/>
      <c r="C514" s="3"/>
    </row>
    <row r="515" spans="2:3" x14ac:dyDescent="0.25">
      <c r="B515" s="3"/>
      <c r="C515" s="3"/>
    </row>
    <row r="516" spans="2:3" x14ac:dyDescent="0.25">
      <c r="B516" s="3"/>
      <c r="C516" s="3"/>
    </row>
    <row r="517" spans="2:3" x14ac:dyDescent="0.25">
      <c r="B517" s="3"/>
      <c r="C517" s="3"/>
    </row>
    <row r="518" spans="2:3" x14ac:dyDescent="0.25">
      <c r="B518" s="3"/>
      <c r="C518" s="3"/>
    </row>
    <row r="519" spans="2:3" x14ac:dyDescent="0.25">
      <c r="B519" s="3"/>
      <c r="C519" s="3"/>
    </row>
    <row r="520" spans="2:3" x14ac:dyDescent="0.25">
      <c r="B520" s="3"/>
      <c r="C520" s="3"/>
    </row>
    <row r="521" spans="2:3" x14ac:dyDescent="0.25">
      <c r="B521" s="3"/>
      <c r="C521" s="3"/>
    </row>
    <row r="522" spans="2:3" x14ac:dyDescent="0.25">
      <c r="B522" s="3"/>
      <c r="C522" s="3"/>
    </row>
    <row r="523" spans="2:3" x14ac:dyDescent="0.25">
      <c r="B523" s="3"/>
      <c r="C523" s="3"/>
    </row>
    <row r="524" spans="2:3" x14ac:dyDescent="0.25">
      <c r="B524" s="3"/>
      <c r="C524" s="3"/>
    </row>
    <row r="525" spans="2:3" x14ac:dyDescent="0.25">
      <c r="B525" s="3"/>
      <c r="C525" s="3"/>
    </row>
    <row r="526" spans="2:3" x14ac:dyDescent="0.25">
      <c r="B526" s="3"/>
      <c r="C526" s="3"/>
    </row>
    <row r="527" spans="2:3" x14ac:dyDescent="0.25">
      <c r="B527" s="3"/>
      <c r="C527" s="3"/>
    </row>
    <row r="528" spans="2:3" x14ac:dyDescent="0.25">
      <c r="B528" s="3"/>
      <c r="C528" s="3"/>
    </row>
    <row r="529" spans="2:3" x14ac:dyDescent="0.25">
      <c r="B529" s="3"/>
      <c r="C529" s="3"/>
    </row>
    <row r="530" spans="2:3" x14ac:dyDescent="0.25">
      <c r="B530" s="3"/>
      <c r="C530" s="3"/>
    </row>
    <row r="531" spans="2:3" x14ac:dyDescent="0.25">
      <c r="B531" s="3"/>
      <c r="C531" s="3"/>
    </row>
    <row r="532" spans="2:3" x14ac:dyDescent="0.25">
      <c r="B532" s="3"/>
      <c r="C532" s="3"/>
    </row>
    <row r="533" spans="2:3" x14ac:dyDescent="0.25">
      <c r="B533" s="3"/>
      <c r="C533" s="3"/>
    </row>
    <row r="534" spans="2:3" x14ac:dyDescent="0.25">
      <c r="B534" s="3"/>
      <c r="C534" s="3"/>
    </row>
    <row r="535" spans="2:3" x14ac:dyDescent="0.25">
      <c r="B535" s="3"/>
      <c r="C535" s="3"/>
    </row>
    <row r="536" spans="2:3" x14ac:dyDescent="0.25">
      <c r="B536" s="3"/>
      <c r="C536" s="3"/>
    </row>
    <row r="537" spans="2:3" x14ac:dyDescent="0.25">
      <c r="B537" s="3"/>
      <c r="C537" s="3"/>
    </row>
    <row r="538" spans="2:3" x14ac:dyDescent="0.25">
      <c r="B538" s="3"/>
      <c r="C538" s="3"/>
    </row>
    <row r="539" spans="2:3" x14ac:dyDescent="0.25">
      <c r="B539" s="3"/>
      <c r="C539" s="3"/>
    </row>
    <row r="540" spans="2:3" x14ac:dyDescent="0.25">
      <c r="B540" s="3"/>
      <c r="C540" s="3"/>
    </row>
    <row r="541" spans="2:3" x14ac:dyDescent="0.25">
      <c r="B541" s="3"/>
      <c r="C541" s="3"/>
    </row>
    <row r="542" spans="2:3" x14ac:dyDescent="0.25">
      <c r="B542" s="3"/>
      <c r="C542" s="3"/>
    </row>
    <row r="543" spans="2:3" x14ac:dyDescent="0.25">
      <c r="B543" s="3"/>
      <c r="C543" s="3"/>
    </row>
    <row r="544" spans="2:3" x14ac:dyDescent="0.25">
      <c r="B544" s="3"/>
      <c r="C544" s="3"/>
    </row>
    <row r="545" spans="2:3" x14ac:dyDescent="0.25">
      <c r="B545" s="3"/>
      <c r="C545" s="3"/>
    </row>
    <row r="546" spans="2:3" x14ac:dyDescent="0.25">
      <c r="B546" s="3"/>
      <c r="C546" s="3"/>
    </row>
    <row r="547" spans="2:3" x14ac:dyDescent="0.25">
      <c r="B547" s="3"/>
      <c r="C547" s="3"/>
    </row>
    <row r="548" spans="2:3" x14ac:dyDescent="0.25">
      <c r="B548" s="3"/>
      <c r="C548" s="3"/>
    </row>
    <row r="549" spans="2:3" x14ac:dyDescent="0.25">
      <c r="B549" s="3"/>
      <c r="C549" s="3"/>
    </row>
    <row r="550" spans="2:3" x14ac:dyDescent="0.25">
      <c r="B550" s="3"/>
      <c r="C550" s="3"/>
    </row>
    <row r="551" spans="2:3" x14ac:dyDescent="0.25">
      <c r="B551" s="3"/>
      <c r="C551" s="3"/>
    </row>
    <row r="552" spans="2:3" x14ac:dyDescent="0.25">
      <c r="B552" s="3"/>
      <c r="C552" s="3"/>
    </row>
    <row r="553" spans="2:3" x14ac:dyDescent="0.25">
      <c r="B553" s="3"/>
      <c r="C553" s="3"/>
    </row>
    <row r="554" spans="2:3" x14ac:dyDescent="0.25">
      <c r="B554" s="3"/>
      <c r="C554" s="3"/>
    </row>
    <row r="555" spans="2:3" x14ac:dyDescent="0.25">
      <c r="B555" s="3"/>
      <c r="C555" s="3"/>
    </row>
    <row r="556" spans="2:3" x14ac:dyDescent="0.25">
      <c r="B556" s="3"/>
      <c r="C556" s="3"/>
    </row>
    <row r="557" spans="2:3" x14ac:dyDescent="0.25">
      <c r="B557" s="3"/>
      <c r="C557" s="3"/>
    </row>
    <row r="558" spans="2:3" x14ac:dyDescent="0.25">
      <c r="B558" s="3"/>
      <c r="C558" s="3"/>
    </row>
    <row r="559" spans="2:3" x14ac:dyDescent="0.25">
      <c r="B559" s="3"/>
      <c r="C559" s="3"/>
    </row>
    <row r="560" spans="2:3" x14ac:dyDescent="0.25">
      <c r="B560" s="3"/>
      <c r="C560" s="3"/>
    </row>
    <row r="561" spans="2:3" x14ac:dyDescent="0.25">
      <c r="B561" s="3"/>
      <c r="C561" s="3"/>
    </row>
    <row r="562" spans="2:3" x14ac:dyDescent="0.25">
      <c r="B562" s="3"/>
      <c r="C562" s="3"/>
    </row>
    <row r="563" spans="2:3" x14ac:dyDescent="0.25">
      <c r="B563" s="3"/>
      <c r="C563" s="3"/>
    </row>
    <row r="564" spans="2:3" x14ac:dyDescent="0.25">
      <c r="B564" s="3"/>
      <c r="C564" s="3"/>
    </row>
    <row r="565" spans="2:3" x14ac:dyDescent="0.25">
      <c r="B565" s="3"/>
      <c r="C565" s="3"/>
    </row>
    <row r="566" spans="2:3" x14ac:dyDescent="0.25">
      <c r="B566" s="3"/>
      <c r="C566" s="3"/>
    </row>
    <row r="567" spans="2:3" x14ac:dyDescent="0.25">
      <c r="B567" s="3"/>
      <c r="C567" s="3"/>
    </row>
    <row r="568" spans="2:3" x14ac:dyDescent="0.25">
      <c r="B568" s="3"/>
      <c r="C568" s="3"/>
    </row>
    <row r="569" spans="2:3" x14ac:dyDescent="0.25">
      <c r="B569" s="3"/>
      <c r="C569" s="3"/>
    </row>
    <row r="570" spans="2:3" x14ac:dyDescent="0.25">
      <c r="B570" s="3"/>
      <c r="C570" s="3"/>
    </row>
    <row r="571" spans="2:3" x14ac:dyDescent="0.25">
      <c r="B571" s="3"/>
      <c r="C571" s="3"/>
    </row>
    <row r="572" spans="2:3" x14ac:dyDescent="0.25">
      <c r="B572" s="3"/>
      <c r="C572" s="3"/>
    </row>
    <row r="573" spans="2:3" x14ac:dyDescent="0.25">
      <c r="B573" s="3"/>
      <c r="C573" s="3"/>
    </row>
    <row r="574" spans="2:3" x14ac:dyDescent="0.25">
      <c r="B574" s="3"/>
      <c r="C574" s="3"/>
    </row>
    <row r="575" spans="2:3" x14ac:dyDescent="0.25">
      <c r="B575" s="3"/>
      <c r="C575" s="3"/>
    </row>
    <row r="576" spans="2:3" x14ac:dyDescent="0.25">
      <c r="B576" s="3"/>
      <c r="C576" s="3"/>
    </row>
    <row r="577" spans="2:3" x14ac:dyDescent="0.25">
      <c r="B577" s="3"/>
      <c r="C577" s="3"/>
    </row>
    <row r="578" spans="2:3" x14ac:dyDescent="0.25">
      <c r="B578" s="3"/>
      <c r="C578" s="3"/>
    </row>
    <row r="579" spans="2:3" x14ac:dyDescent="0.25">
      <c r="B579" s="3"/>
      <c r="C579" s="3"/>
    </row>
    <row r="580" spans="2:3" x14ac:dyDescent="0.25">
      <c r="B580" s="3"/>
      <c r="C580" s="3"/>
    </row>
    <row r="581" spans="2:3" x14ac:dyDescent="0.25">
      <c r="B581" s="3"/>
      <c r="C581" s="3"/>
    </row>
    <row r="582" spans="2:3" x14ac:dyDescent="0.25">
      <c r="B582" s="3"/>
      <c r="C582" s="3"/>
    </row>
    <row r="583" spans="2:3" x14ac:dyDescent="0.25">
      <c r="B583" s="3"/>
      <c r="C583" s="3"/>
    </row>
    <row r="584" spans="2:3" x14ac:dyDescent="0.25">
      <c r="B584" s="3"/>
      <c r="C584" s="3"/>
    </row>
    <row r="585" spans="2:3" x14ac:dyDescent="0.25">
      <c r="B585" s="3"/>
      <c r="C585" s="3"/>
    </row>
    <row r="586" spans="2:3" x14ac:dyDescent="0.25">
      <c r="B586" s="3"/>
      <c r="C586" s="3"/>
    </row>
    <row r="587" spans="2:3" x14ac:dyDescent="0.25">
      <c r="B587" s="3"/>
      <c r="C587" s="3"/>
    </row>
    <row r="588" spans="2:3" x14ac:dyDescent="0.25">
      <c r="B588" s="3"/>
      <c r="C588" s="3"/>
    </row>
    <row r="589" spans="2:3" x14ac:dyDescent="0.25">
      <c r="B589" s="3"/>
      <c r="C589" s="3"/>
    </row>
    <row r="590" spans="2:3" x14ac:dyDescent="0.25">
      <c r="B590" s="3"/>
      <c r="C590" s="3"/>
    </row>
    <row r="591" spans="2:3" x14ac:dyDescent="0.25">
      <c r="B591" s="3"/>
      <c r="C591" s="3"/>
    </row>
    <row r="592" spans="2:3" x14ac:dyDescent="0.25">
      <c r="B592" s="3"/>
      <c r="C592" s="3"/>
    </row>
    <row r="593" spans="2:3" x14ac:dyDescent="0.25">
      <c r="B593" s="3"/>
      <c r="C593" s="3"/>
    </row>
    <row r="594" spans="2:3" x14ac:dyDescent="0.25">
      <c r="B594" s="3"/>
      <c r="C594" s="3"/>
    </row>
    <row r="595" spans="2:3" x14ac:dyDescent="0.25">
      <c r="B595" s="3"/>
      <c r="C595" s="3"/>
    </row>
    <row r="596" spans="2:3" x14ac:dyDescent="0.25">
      <c r="B596" s="3"/>
      <c r="C596" s="3"/>
    </row>
    <row r="597" spans="2:3" x14ac:dyDescent="0.25">
      <c r="B597" s="3"/>
      <c r="C597" s="3"/>
    </row>
    <row r="598" spans="2:3" x14ac:dyDescent="0.25">
      <c r="B598" s="3"/>
      <c r="C598" s="3"/>
    </row>
    <row r="599" spans="2:3" x14ac:dyDescent="0.25">
      <c r="B599" s="3"/>
      <c r="C599" s="3"/>
    </row>
    <row r="600" spans="2:3" x14ac:dyDescent="0.25">
      <c r="B600" s="3"/>
      <c r="C600" s="3"/>
    </row>
    <row r="601" spans="2:3" x14ac:dyDescent="0.25">
      <c r="B601" s="3"/>
      <c r="C601" s="3"/>
    </row>
    <row r="602" spans="2:3" x14ac:dyDescent="0.25">
      <c r="B602" s="3"/>
      <c r="C602" s="3"/>
    </row>
    <row r="603" spans="2:3" x14ac:dyDescent="0.25">
      <c r="B603" s="3"/>
      <c r="C603" s="3"/>
    </row>
    <row r="604" spans="2:3" x14ac:dyDescent="0.25">
      <c r="B604" s="3"/>
      <c r="C604" s="3"/>
    </row>
    <row r="605" spans="2:3" x14ac:dyDescent="0.25">
      <c r="B605" s="3"/>
      <c r="C605" s="3"/>
    </row>
    <row r="606" spans="2:3" x14ac:dyDescent="0.25">
      <c r="B606" s="3"/>
      <c r="C606" s="3"/>
    </row>
    <row r="607" spans="2:3" x14ac:dyDescent="0.25">
      <c r="B607" s="3"/>
      <c r="C607" s="3"/>
    </row>
    <row r="608" spans="2:3" x14ac:dyDescent="0.25">
      <c r="B608" s="3"/>
      <c r="C608" s="3"/>
    </row>
    <row r="609" spans="2:3" x14ac:dyDescent="0.25">
      <c r="B609" s="3"/>
      <c r="C609" s="3"/>
    </row>
    <row r="610" spans="2:3" x14ac:dyDescent="0.25">
      <c r="B610" s="3"/>
      <c r="C610" s="3"/>
    </row>
    <row r="611" spans="2:3" x14ac:dyDescent="0.25">
      <c r="B611" s="3"/>
      <c r="C611" s="3"/>
    </row>
    <row r="612" spans="2:3" x14ac:dyDescent="0.25">
      <c r="B612" s="3"/>
      <c r="C612" s="3"/>
    </row>
    <row r="613" spans="2:3" x14ac:dyDescent="0.25">
      <c r="B613" s="3"/>
      <c r="C613" s="3"/>
    </row>
    <row r="614" spans="2:3" x14ac:dyDescent="0.25">
      <c r="B614" s="3"/>
      <c r="C614" s="3"/>
    </row>
    <row r="615" spans="2:3" x14ac:dyDescent="0.25">
      <c r="B615" s="3"/>
      <c r="C615" s="3"/>
    </row>
    <row r="616" spans="2:3" x14ac:dyDescent="0.25">
      <c r="B616" s="3"/>
      <c r="C616" s="3"/>
    </row>
    <row r="617" spans="2:3" x14ac:dyDescent="0.25">
      <c r="B617" s="3"/>
      <c r="C617" s="3"/>
    </row>
    <row r="618" spans="2:3" x14ac:dyDescent="0.25">
      <c r="B618" s="3"/>
      <c r="C618" s="3"/>
    </row>
    <row r="619" spans="2:3" x14ac:dyDescent="0.25">
      <c r="B619" s="3"/>
      <c r="C619" s="3"/>
    </row>
    <row r="620" spans="2:3" x14ac:dyDescent="0.25">
      <c r="B620" s="3"/>
      <c r="C620" s="3"/>
    </row>
    <row r="621" spans="2:3" x14ac:dyDescent="0.25">
      <c r="B621" s="3"/>
      <c r="C621" s="3"/>
    </row>
    <row r="622" spans="2:3" x14ac:dyDescent="0.25">
      <c r="B622" s="3"/>
      <c r="C622" s="3"/>
    </row>
    <row r="623" spans="2:3" x14ac:dyDescent="0.25">
      <c r="B623" s="3"/>
      <c r="C623" s="3"/>
    </row>
    <row r="624" spans="2:3" x14ac:dyDescent="0.25">
      <c r="B624" s="3"/>
      <c r="C624" s="3"/>
    </row>
    <row r="625" spans="2:3" x14ac:dyDescent="0.25">
      <c r="B625" s="3"/>
      <c r="C625" s="3"/>
    </row>
    <row r="626" spans="2:3" x14ac:dyDescent="0.25">
      <c r="B626" s="3"/>
      <c r="C626" s="3"/>
    </row>
    <row r="627" spans="2:3" x14ac:dyDescent="0.25">
      <c r="B627" s="3"/>
      <c r="C627" s="3"/>
    </row>
    <row r="628" spans="2:3" x14ac:dyDescent="0.25">
      <c r="B628" s="3"/>
      <c r="C628" s="3"/>
    </row>
    <row r="629" spans="2:3" x14ac:dyDescent="0.25">
      <c r="B629" s="3"/>
      <c r="C629" s="3"/>
    </row>
    <row r="630" spans="2:3" x14ac:dyDescent="0.25">
      <c r="B630" s="3"/>
      <c r="C630" s="3"/>
    </row>
    <row r="631" spans="2:3" x14ac:dyDescent="0.25">
      <c r="B631" s="3"/>
      <c r="C631" s="3"/>
    </row>
    <row r="632" spans="2:3" x14ac:dyDescent="0.25">
      <c r="B632" s="3"/>
      <c r="C632" s="3"/>
    </row>
    <row r="633" spans="2:3" x14ac:dyDescent="0.25">
      <c r="B633" s="3"/>
      <c r="C633" s="3"/>
    </row>
    <row r="634" spans="2:3" x14ac:dyDescent="0.25">
      <c r="B634" s="3"/>
      <c r="C634" s="3"/>
    </row>
    <row r="635" spans="2:3" x14ac:dyDescent="0.25">
      <c r="B635" s="3"/>
      <c r="C635" s="3"/>
    </row>
    <row r="636" spans="2:3" x14ac:dyDescent="0.25">
      <c r="B636" s="3"/>
      <c r="C636" s="3"/>
    </row>
    <row r="637" spans="2:3" x14ac:dyDescent="0.25">
      <c r="B637" s="3"/>
      <c r="C637" s="3"/>
    </row>
    <row r="638" spans="2:3" x14ac:dyDescent="0.25">
      <c r="B638" s="3"/>
      <c r="C638" s="3"/>
    </row>
    <row r="639" spans="2:3" x14ac:dyDescent="0.25">
      <c r="B639" s="3"/>
      <c r="C639" s="3"/>
    </row>
    <row r="640" spans="2:3" x14ac:dyDescent="0.25">
      <c r="B640" s="3"/>
      <c r="C640" s="3"/>
    </row>
    <row r="641" spans="2:3" x14ac:dyDescent="0.25">
      <c r="B641" s="3"/>
      <c r="C641" s="3"/>
    </row>
    <row r="642" spans="2:3" x14ac:dyDescent="0.25">
      <c r="B642" s="3"/>
      <c r="C642" s="3"/>
    </row>
    <row r="643" spans="2:3" x14ac:dyDescent="0.25">
      <c r="B643" s="3"/>
      <c r="C643" s="3"/>
    </row>
    <row r="644" spans="2:3" x14ac:dyDescent="0.25">
      <c r="B644" s="3"/>
      <c r="C644" s="3"/>
    </row>
    <row r="645" spans="2:3" x14ac:dyDescent="0.25">
      <c r="B645" s="3"/>
      <c r="C645" s="3"/>
    </row>
    <row r="646" spans="2:3" x14ac:dyDescent="0.25">
      <c r="B646" s="3"/>
      <c r="C646" s="3"/>
    </row>
    <row r="647" spans="2:3" x14ac:dyDescent="0.25">
      <c r="B647" s="3"/>
      <c r="C647" s="3"/>
    </row>
    <row r="648" spans="2:3" x14ac:dyDescent="0.25">
      <c r="B648" s="3"/>
      <c r="C648" s="3"/>
    </row>
    <row r="649" spans="2:3" x14ac:dyDescent="0.25">
      <c r="B649" s="3"/>
      <c r="C649" s="3"/>
    </row>
    <row r="650" spans="2:3" x14ac:dyDescent="0.25">
      <c r="B650" s="3"/>
      <c r="C650" s="3"/>
    </row>
    <row r="651" spans="2:3" x14ac:dyDescent="0.25">
      <c r="B651" s="3"/>
      <c r="C651" s="3"/>
    </row>
    <row r="652" spans="2:3" x14ac:dyDescent="0.25">
      <c r="B652" s="3"/>
      <c r="C652" s="3"/>
    </row>
    <row r="653" spans="2:3" x14ac:dyDescent="0.25">
      <c r="B653" s="3"/>
      <c r="C653" s="3"/>
    </row>
    <row r="654" spans="2:3" x14ac:dyDescent="0.25">
      <c r="B654" s="3"/>
      <c r="C654" s="3"/>
    </row>
    <row r="655" spans="2:3" x14ac:dyDescent="0.25">
      <c r="B655" s="3"/>
      <c r="C655" s="3"/>
    </row>
    <row r="656" spans="2:3" x14ac:dyDescent="0.25">
      <c r="B656" s="3"/>
      <c r="C656" s="3"/>
    </row>
    <row r="657" spans="2:3" x14ac:dyDescent="0.25">
      <c r="B657" s="3"/>
      <c r="C657" s="3"/>
    </row>
    <row r="658" spans="2:3" x14ac:dyDescent="0.25">
      <c r="B658" s="3"/>
      <c r="C658" s="3"/>
    </row>
    <row r="659" spans="2:3" x14ac:dyDescent="0.25">
      <c r="B659" s="3"/>
      <c r="C659" s="3"/>
    </row>
    <row r="660" spans="2:3" x14ac:dyDescent="0.25">
      <c r="B660" s="3"/>
      <c r="C660" s="3"/>
    </row>
    <row r="661" spans="2:3" x14ac:dyDescent="0.25">
      <c r="B661" s="3"/>
      <c r="C661" s="3"/>
    </row>
    <row r="662" spans="2:3" x14ac:dyDescent="0.25">
      <c r="B662" s="3"/>
      <c r="C662" s="3"/>
    </row>
    <row r="663" spans="2:3" x14ac:dyDescent="0.25">
      <c r="B663" s="3"/>
      <c r="C663" s="3"/>
    </row>
    <row r="664" spans="2:3" x14ac:dyDescent="0.25">
      <c r="B664" s="3"/>
      <c r="C664" s="3"/>
    </row>
    <row r="665" spans="2:3" x14ac:dyDescent="0.25">
      <c r="B665" s="3"/>
      <c r="C665" s="3"/>
    </row>
    <row r="666" spans="2:3" x14ac:dyDescent="0.25">
      <c r="B666" s="3"/>
      <c r="C666" s="3"/>
    </row>
    <row r="667" spans="2:3" x14ac:dyDescent="0.25">
      <c r="B667" s="3"/>
      <c r="C667" s="3"/>
    </row>
    <row r="668" spans="2:3" x14ac:dyDescent="0.25">
      <c r="B668" s="3"/>
      <c r="C668" s="3"/>
    </row>
    <row r="669" spans="2:3" x14ac:dyDescent="0.25">
      <c r="B669" s="3"/>
      <c r="C669" s="3"/>
    </row>
    <row r="670" spans="2:3" x14ac:dyDescent="0.25">
      <c r="B670" s="3"/>
      <c r="C670" s="3"/>
    </row>
    <row r="671" spans="2:3" x14ac:dyDescent="0.25">
      <c r="B671" s="3"/>
      <c r="C671" s="3"/>
    </row>
    <row r="672" spans="2:3" x14ac:dyDescent="0.25">
      <c r="B672" s="3"/>
      <c r="C672" s="3"/>
    </row>
    <row r="673" spans="2:3" x14ac:dyDescent="0.25">
      <c r="B673" s="3"/>
      <c r="C673" s="3"/>
    </row>
    <row r="674" spans="2:3" x14ac:dyDescent="0.25">
      <c r="B674" s="3"/>
      <c r="C674" s="3"/>
    </row>
    <row r="675" spans="2:3" x14ac:dyDescent="0.25">
      <c r="B675" s="3"/>
      <c r="C675" s="3"/>
    </row>
    <row r="676" spans="2:3" x14ac:dyDescent="0.25">
      <c r="B676" s="3"/>
      <c r="C676" s="3"/>
    </row>
    <row r="677" spans="2:3" x14ac:dyDescent="0.25">
      <c r="B677" s="3"/>
      <c r="C677" s="3"/>
    </row>
    <row r="678" spans="2:3" x14ac:dyDescent="0.25">
      <c r="B678" s="3"/>
      <c r="C678" s="3"/>
    </row>
    <row r="679" spans="2:3" x14ac:dyDescent="0.25">
      <c r="B679" s="3"/>
      <c r="C679" s="3"/>
    </row>
    <row r="680" spans="2:3" x14ac:dyDescent="0.25">
      <c r="B680" s="3"/>
      <c r="C680" s="3"/>
    </row>
    <row r="681" spans="2:3" x14ac:dyDescent="0.25">
      <c r="B681" s="3"/>
      <c r="C681" s="3"/>
    </row>
    <row r="682" spans="2:3" x14ac:dyDescent="0.25">
      <c r="B682" s="3"/>
      <c r="C682" s="3"/>
    </row>
    <row r="683" spans="2:3" x14ac:dyDescent="0.25">
      <c r="B683" s="3"/>
      <c r="C683" s="3"/>
    </row>
    <row r="684" spans="2:3" x14ac:dyDescent="0.25">
      <c r="B684" s="3"/>
      <c r="C684" s="3"/>
    </row>
    <row r="685" spans="2:3" x14ac:dyDescent="0.25">
      <c r="B685" s="3"/>
      <c r="C685" s="3"/>
    </row>
    <row r="686" spans="2:3" x14ac:dyDescent="0.25">
      <c r="B686" s="3"/>
      <c r="C686" s="3"/>
    </row>
    <row r="687" spans="2:3" x14ac:dyDescent="0.25">
      <c r="B687" s="3"/>
      <c r="C687" s="3"/>
    </row>
    <row r="688" spans="2:3" x14ac:dyDescent="0.25">
      <c r="B688" s="3"/>
      <c r="C688" s="3"/>
    </row>
    <row r="689" spans="2:3" x14ac:dyDescent="0.25">
      <c r="B689" s="3"/>
      <c r="C689" s="3"/>
    </row>
    <row r="690" spans="2:3" x14ac:dyDescent="0.25">
      <c r="B690" s="3"/>
      <c r="C690" s="3"/>
    </row>
    <row r="691" spans="2:3" x14ac:dyDescent="0.25">
      <c r="B691" s="3"/>
      <c r="C691" s="3"/>
    </row>
    <row r="692" spans="2:3" x14ac:dyDescent="0.25">
      <c r="B692" s="3"/>
      <c r="C692" s="3"/>
    </row>
    <row r="693" spans="2:3" x14ac:dyDescent="0.25">
      <c r="B693" s="3"/>
      <c r="C693" s="3"/>
    </row>
    <row r="694" spans="2:3" x14ac:dyDescent="0.25">
      <c r="B694" s="3"/>
      <c r="C694" s="3"/>
    </row>
    <row r="695" spans="2:3" x14ac:dyDescent="0.25">
      <c r="B695" s="3"/>
      <c r="C695" s="3"/>
    </row>
    <row r="696" spans="2:3" x14ac:dyDescent="0.25">
      <c r="B696" s="3"/>
      <c r="C696" s="3"/>
    </row>
    <row r="697" spans="2:3" x14ac:dyDescent="0.25">
      <c r="B697" s="3"/>
      <c r="C697" s="3"/>
    </row>
    <row r="698" spans="2:3" x14ac:dyDescent="0.25">
      <c r="B698" s="3"/>
      <c r="C698" s="3"/>
    </row>
    <row r="699" spans="2:3" x14ac:dyDescent="0.25">
      <c r="B699" s="3"/>
      <c r="C699" s="3"/>
    </row>
    <row r="700" spans="2:3" x14ac:dyDescent="0.25">
      <c r="B700" s="3"/>
      <c r="C700" s="3"/>
    </row>
    <row r="701" spans="2:3" x14ac:dyDescent="0.25">
      <c r="B701" s="3"/>
      <c r="C701" s="3"/>
    </row>
    <row r="702" spans="2:3" x14ac:dyDescent="0.25">
      <c r="B702" s="3"/>
      <c r="C702" s="3"/>
    </row>
    <row r="703" spans="2:3" x14ac:dyDescent="0.25">
      <c r="B703" s="3"/>
      <c r="C703" s="3"/>
    </row>
    <row r="704" spans="2:3" x14ac:dyDescent="0.25">
      <c r="B704" s="3"/>
      <c r="C704" s="3"/>
    </row>
    <row r="705" spans="2:3" x14ac:dyDescent="0.25">
      <c r="B705" s="3"/>
      <c r="C705" s="3"/>
    </row>
    <row r="706" spans="2:3" x14ac:dyDescent="0.25">
      <c r="B706" s="3"/>
      <c r="C706" s="3"/>
    </row>
    <row r="707" spans="2:3" x14ac:dyDescent="0.25">
      <c r="B707" s="3"/>
      <c r="C707" s="3"/>
    </row>
    <row r="708" spans="2:3" x14ac:dyDescent="0.25">
      <c r="B708" s="3"/>
      <c r="C708" s="3"/>
    </row>
    <row r="709" spans="2:3" x14ac:dyDescent="0.25">
      <c r="B709" s="3"/>
      <c r="C709" s="3"/>
    </row>
    <row r="710" spans="2:3" x14ac:dyDescent="0.25">
      <c r="B710" s="3"/>
      <c r="C710" s="3"/>
    </row>
    <row r="711" spans="2:3" x14ac:dyDescent="0.25">
      <c r="B711" s="3"/>
      <c r="C711" s="3"/>
    </row>
    <row r="712" spans="2:3" x14ac:dyDescent="0.25">
      <c r="B712" s="3"/>
      <c r="C712" s="3"/>
    </row>
    <row r="713" spans="2:3" x14ac:dyDescent="0.25">
      <c r="B713" s="3"/>
      <c r="C713" s="3"/>
    </row>
    <row r="714" spans="2:3" x14ac:dyDescent="0.25">
      <c r="B714" s="3"/>
      <c r="C714" s="3"/>
    </row>
    <row r="715" spans="2:3" x14ac:dyDescent="0.25">
      <c r="B715" s="3"/>
      <c r="C715" s="3"/>
    </row>
    <row r="716" spans="2:3" x14ac:dyDescent="0.25">
      <c r="B716" s="3"/>
      <c r="C716" s="3"/>
    </row>
    <row r="717" spans="2:3" x14ac:dyDescent="0.25">
      <c r="B717" s="3"/>
      <c r="C717" s="3"/>
    </row>
    <row r="718" spans="2:3" x14ac:dyDescent="0.25">
      <c r="B718" s="3"/>
      <c r="C718" s="3"/>
    </row>
    <row r="719" spans="2:3" x14ac:dyDescent="0.25">
      <c r="B719" s="3"/>
      <c r="C719" s="3"/>
    </row>
    <row r="720" spans="2:3" x14ac:dyDescent="0.25">
      <c r="B720" s="3"/>
      <c r="C720" s="3"/>
    </row>
    <row r="721" spans="2:3" x14ac:dyDescent="0.25">
      <c r="B721" s="3"/>
      <c r="C721" s="3"/>
    </row>
    <row r="722" spans="2:3" x14ac:dyDescent="0.25">
      <c r="B722" s="3"/>
      <c r="C722" s="3"/>
    </row>
    <row r="723" spans="2:3" x14ac:dyDescent="0.25">
      <c r="B723" s="3"/>
      <c r="C723" s="3"/>
    </row>
    <row r="724" spans="2:3" x14ac:dyDescent="0.25">
      <c r="B724" s="3"/>
      <c r="C724" s="3"/>
    </row>
    <row r="725" spans="2:3" x14ac:dyDescent="0.25">
      <c r="B725" s="3"/>
      <c r="C725" s="3"/>
    </row>
    <row r="726" spans="2:3" x14ac:dyDescent="0.25">
      <c r="B726" s="3"/>
      <c r="C726" s="3"/>
    </row>
    <row r="727" spans="2:3" x14ac:dyDescent="0.25">
      <c r="B727" s="3"/>
      <c r="C727" s="3"/>
    </row>
    <row r="728" spans="2:3" x14ac:dyDescent="0.25">
      <c r="B728" s="3"/>
      <c r="C728" s="3"/>
    </row>
    <row r="729" spans="2:3" x14ac:dyDescent="0.25">
      <c r="B729" s="3"/>
      <c r="C729" s="3"/>
    </row>
    <row r="730" spans="2:3" x14ac:dyDescent="0.25">
      <c r="B730" s="3"/>
      <c r="C730" s="3"/>
    </row>
    <row r="731" spans="2:3" x14ac:dyDescent="0.25">
      <c r="B731" s="3"/>
      <c r="C731" s="3"/>
    </row>
    <row r="732" spans="2:3" x14ac:dyDescent="0.25">
      <c r="B732" s="3"/>
      <c r="C732" s="3"/>
    </row>
    <row r="733" spans="2:3" x14ac:dyDescent="0.25">
      <c r="B733" s="3"/>
      <c r="C733" s="3"/>
    </row>
    <row r="734" spans="2:3" x14ac:dyDescent="0.25">
      <c r="B734" s="3"/>
      <c r="C734" s="3"/>
    </row>
    <row r="735" spans="2:3" x14ac:dyDescent="0.25">
      <c r="B735" s="3"/>
      <c r="C735" s="3"/>
    </row>
    <row r="736" spans="2:3" x14ac:dyDescent="0.25">
      <c r="B736" s="3"/>
      <c r="C736" s="3"/>
    </row>
    <row r="737" spans="2:3" x14ac:dyDescent="0.25">
      <c r="B737" s="3"/>
      <c r="C737" s="3"/>
    </row>
    <row r="738" spans="2:3" x14ac:dyDescent="0.25">
      <c r="B738" s="3"/>
      <c r="C738" s="3"/>
    </row>
    <row r="739" spans="2:3" x14ac:dyDescent="0.25">
      <c r="B739" s="3"/>
      <c r="C739" s="3"/>
    </row>
    <row r="740" spans="2:3" x14ac:dyDescent="0.25">
      <c r="B740" s="3"/>
      <c r="C740" s="3"/>
    </row>
    <row r="741" spans="2:3" x14ac:dyDescent="0.25">
      <c r="B741" s="3"/>
      <c r="C741" s="3"/>
    </row>
    <row r="742" spans="2:3" x14ac:dyDescent="0.25">
      <c r="B742" s="3"/>
      <c r="C742" s="3"/>
    </row>
    <row r="743" spans="2:3" x14ac:dyDescent="0.25">
      <c r="B743" s="3"/>
      <c r="C743" s="3"/>
    </row>
    <row r="744" spans="2:3" x14ac:dyDescent="0.25">
      <c r="B744" s="3"/>
      <c r="C744" s="3"/>
    </row>
    <row r="745" spans="2:3" x14ac:dyDescent="0.25">
      <c r="B745" s="3"/>
      <c r="C745" s="3"/>
    </row>
    <row r="746" spans="2:3" x14ac:dyDescent="0.25">
      <c r="B746" s="3"/>
      <c r="C746" s="3"/>
    </row>
    <row r="747" spans="2:3" x14ac:dyDescent="0.25">
      <c r="B747" s="3"/>
      <c r="C747" s="3"/>
    </row>
    <row r="748" spans="2:3" x14ac:dyDescent="0.25">
      <c r="B748" s="3"/>
      <c r="C748" s="3"/>
    </row>
    <row r="749" spans="2:3" x14ac:dyDescent="0.25">
      <c r="B749" s="3"/>
      <c r="C749" s="3"/>
    </row>
    <row r="750" spans="2:3" x14ac:dyDescent="0.25">
      <c r="B750" s="3"/>
      <c r="C750" s="3"/>
    </row>
    <row r="751" spans="2:3" x14ac:dyDescent="0.25">
      <c r="B751" s="3"/>
      <c r="C751" s="3"/>
    </row>
    <row r="752" spans="2:3" x14ac:dyDescent="0.25">
      <c r="B752" s="3"/>
      <c r="C752" s="3"/>
    </row>
    <row r="753" spans="2:3" x14ac:dyDescent="0.25">
      <c r="B753" s="3"/>
      <c r="C753" s="3"/>
    </row>
    <row r="754" spans="2:3" x14ac:dyDescent="0.25">
      <c r="B754" s="3"/>
      <c r="C754" s="3"/>
    </row>
    <row r="755" spans="2:3" x14ac:dyDescent="0.25">
      <c r="B755" s="3"/>
      <c r="C755" s="3"/>
    </row>
    <row r="756" spans="2:3" x14ac:dyDescent="0.25">
      <c r="B756" s="3"/>
      <c r="C756" s="3"/>
    </row>
    <row r="757" spans="2:3" x14ac:dyDescent="0.25">
      <c r="B757" s="3"/>
      <c r="C757" s="3"/>
    </row>
    <row r="758" spans="2:3" x14ac:dyDescent="0.25">
      <c r="B758" s="3"/>
      <c r="C758" s="3"/>
    </row>
    <row r="759" spans="2:3" x14ac:dyDescent="0.25">
      <c r="B759" s="3"/>
      <c r="C759" s="3"/>
    </row>
    <row r="760" spans="2:3" x14ac:dyDescent="0.25">
      <c r="B760" s="3"/>
      <c r="C760" s="3"/>
    </row>
    <row r="761" spans="2:3" x14ac:dyDescent="0.25">
      <c r="B761" s="3"/>
      <c r="C761" s="3"/>
    </row>
    <row r="762" spans="2:3" x14ac:dyDescent="0.25">
      <c r="B762" s="3"/>
      <c r="C762" s="3"/>
    </row>
    <row r="763" spans="2:3" x14ac:dyDescent="0.25">
      <c r="B763" s="3"/>
      <c r="C763" s="3"/>
    </row>
    <row r="764" spans="2:3" x14ac:dyDescent="0.25">
      <c r="B764" s="3"/>
      <c r="C764" s="3"/>
    </row>
    <row r="765" spans="2:3" x14ac:dyDescent="0.25">
      <c r="B765" s="3"/>
      <c r="C765" s="3"/>
    </row>
    <row r="766" spans="2:3" x14ac:dyDescent="0.25">
      <c r="B766" s="3"/>
      <c r="C766" s="3"/>
    </row>
    <row r="767" spans="2:3" x14ac:dyDescent="0.25">
      <c r="B767" s="3"/>
      <c r="C767" s="3"/>
    </row>
    <row r="768" spans="2:3" x14ac:dyDescent="0.25">
      <c r="B768" s="3"/>
      <c r="C768" s="3"/>
    </row>
    <row r="769" spans="2:3" x14ac:dyDescent="0.25">
      <c r="B769" s="3"/>
      <c r="C769" s="3"/>
    </row>
    <row r="770" spans="2:3" x14ac:dyDescent="0.25">
      <c r="B770" s="3"/>
      <c r="C770" s="3"/>
    </row>
    <row r="771" spans="2:3" x14ac:dyDescent="0.25">
      <c r="B771" s="3"/>
      <c r="C771" s="3"/>
    </row>
    <row r="772" spans="2:3" x14ac:dyDescent="0.25">
      <c r="B772" s="3"/>
      <c r="C772" s="3"/>
    </row>
    <row r="773" spans="2:3" x14ac:dyDescent="0.25">
      <c r="B773" s="3"/>
      <c r="C773" s="3"/>
    </row>
    <row r="774" spans="2:3" x14ac:dyDescent="0.25">
      <c r="B774" s="3"/>
      <c r="C774" s="3"/>
    </row>
    <row r="775" spans="2:3" x14ac:dyDescent="0.25">
      <c r="B775" s="3"/>
      <c r="C775" s="3"/>
    </row>
    <row r="776" spans="2:3" x14ac:dyDescent="0.25">
      <c r="B776" s="3"/>
      <c r="C776" s="3"/>
    </row>
    <row r="777" spans="2:3" x14ac:dyDescent="0.25">
      <c r="B777" s="3"/>
      <c r="C777" s="3"/>
    </row>
    <row r="778" spans="2:3" x14ac:dyDescent="0.25">
      <c r="B778" s="3"/>
      <c r="C778" s="3"/>
    </row>
    <row r="779" spans="2:3" x14ac:dyDescent="0.25">
      <c r="B779" s="3"/>
      <c r="C779" s="3"/>
    </row>
    <row r="780" spans="2:3" x14ac:dyDescent="0.25">
      <c r="B780" s="3"/>
      <c r="C780" s="3"/>
    </row>
    <row r="781" spans="2:3" x14ac:dyDescent="0.25">
      <c r="B781" s="3"/>
      <c r="C781" s="3"/>
    </row>
    <row r="782" spans="2:3" x14ac:dyDescent="0.25">
      <c r="B782" s="3"/>
      <c r="C782" s="3"/>
    </row>
    <row r="783" spans="2:3" x14ac:dyDescent="0.25">
      <c r="B783" s="3"/>
      <c r="C783" s="3"/>
    </row>
    <row r="784" spans="2:3" x14ac:dyDescent="0.25">
      <c r="B784" s="3"/>
      <c r="C784" s="3"/>
    </row>
    <row r="785" spans="2:3" x14ac:dyDescent="0.25">
      <c r="B785" s="3"/>
      <c r="C785" s="3"/>
    </row>
    <row r="786" spans="2:3" x14ac:dyDescent="0.25">
      <c r="B786" s="3"/>
      <c r="C786" s="3"/>
    </row>
    <row r="787" spans="2:3" x14ac:dyDescent="0.25">
      <c r="B787" s="3"/>
      <c r="C787" s="3"/>
    </row>
    <row r="788" spans="2:3" x14ac:dyDescent="0.25">
      <c r="B788" s="3"/>
      <c r="C788" s="3"/>
    </row>
    <row r="789" spans="2:3" x14ac:dyDescent="0.25">
      <c r="B789" s="3"/>
      <c r="C789" s="3"/>
    </row>
    <row r="790" spans="2:3" x14ac:dyDescent="0.25">
      <c r="B790" s="3"/>
      <c r="C790" s="3"/>
    </row>
    <row r="791" spans="2:3" x14ac:dyDescent="0.25">
      <c r="B791" s="3"/>
      <c r="C791" s="3"/>
    </row>
    <row r="792" spans="2:3" x14ac:dyDescent="0.25">
      <c r="B792" s="3"/>
      <c r="C792" s="3"/>
    </row>
    <row r="793" spans="2:3" x14ac:dyDescent="0.25">
      <c r="B793" s="3"/>
      <c r="C793" s="3"/>
    </row>
    <row r="794" spans="2:3" x14ac:dyDescent="0.25">
      <c r="B794" s="3"/>
      <c r="C794" s="3"/>
    </row>
    <row r="795" spans="2:3" x14ac:dyDescent="0.25">
      <c r="B795" s="3"/>
      <c r="C795" s="3"/>
    </row>
    <row r="796" spans="2:3" x14ac:dyDescent="0.25">
      <c r="B796" s="3"/>
      <c r="C796" s="3"/>
    </row>
    <row r="797" spans="2:3" x14ac:dyDescent="0.25">
      <c r="B797" s="3"/>
      <c r="C797" s="3"/>
    </row>
    <row r="798" spans="2:3" x14ac:dyDescent="0.25">
      <c r="B798" s="3"/>
      <c r="C798" s="3"/>
    </row>
    <row r="799" spans="2:3" x14ac:dyDescent="0.25">
      <c r="B799" s="3"/>
      <c r="C799" s="3"/>
    </row>
    <row r="800" spans="2:3" x14ac:dyDescent="0.25">
      <c r="B800" s="3"/>
      <c r="C800" s="3"/>
    </row>
    <row r="801" spans="2:3" x14ac:dyDescent="0.25">
      <c r="B801" s="3"/>
      <c r="C801" s="3"/>
    </row>
    <row r="802" spans="2:3" x14ac:dyDescent="0.25">
      <c r="B802" s="3"/>
      <c r="C802" s="3"/>
    </row>
    <row r="803" spans="2:3" x14ac:dyDescent="0.25">
      <c r="B803" s="3"/>
      <c r="C803" s="3"/>
    </row>
    <row r="804" spans="2:3" x14ac:dyDescent="0.25">
      <c r="B804" s="3"/>
      <c r="C804" s="3"/>
    </row>
    <row r="805" spans="2:3" x14ac:dyDescent="0.25">
      <c r="B805" s="3"/>
      <c r="C805" s="3"/>
    </row>
    <row r="806" spans="2:3" x14ac:dyDescent="0.25">
      <c r="B806" s="3"/>
      <c r="C806" s="3"/>
    </row>
    <row r="807" spans="2:3" x14ac:dyDescent="0.25">
      <c r="B807" s="3"/>
      <c r="C807" s="3"/>
    </row>
    <row r="808" spans="2:3" x14ac:dyDescent="0.25">
      <c r="B808" s="3"/>
      <c r="C808" s="3"/>
    </row>
    <row r="809" spans="2:3" x14ac:dyDescent="0.25">
      <c r="B809" s="3"/>
      <c r="C809" s="3"/>
    </row>
    <row r="810" spans="2:3" x14ac:dyDescent="0.25">
      <c r="B810" s="3"/>
      <c r="C810" s="3"/>
    </row>
    <row r="811" spans="2:3" x14ac:dyDescent="0.25">
      <c r="B811" s="3"/>
      <c r="C811" s="3"/>
    </row>
    <row r="812" spans="2:3" x14ac:dyDescent="0.25">
      <c r="B812" s="3"/>
      <c r="C812" s="3"/>
    </row>
    <row r="813" spans="2:3" x14ac:dyDescent="0.25">
      <c r="B813" s="3"/>
      <c r="C813" s="3"/>
    </row>
    <row r="814" spans="2:3" x14ac:dyDescent="0.25">
      <c r="B814" s="3"/>
      <c r="C814" s="3"/>
    </row>
    <row r="815" spans="2:3" x14ac:dyDescent="0.25">
      <c r="B815" s="3"/>
      <c r="C815" s="3"/>
    </row>
    <row r="816" spans="2:3" x14ac:dyDescent="0.25">
      <c r="B816" s="3"/>
      <c r="C816" s="3"/>
    </row>
    <row r="817" spans="2:3" x14ac:dyDescent="0.25">
      <c r="B817" s="3"/>
      <c r="C817" s="3"/>
    </row>
    <row r="818" spans="2:3" x14ac:dyDescent="0.25">
      <c r="B818" s="3"/>
      <c r="C818" s="3"/>
    </row>
    <row r="819" spans="2:3" x14ac:dyDescent="0.25">
      <c r="B819" s="3"/>
      <c r="C819" s="3"/>
    </row>
    <row r="820" spans="2:3" x14ac:dyDescent="0.25">
      <c r="B820" s="3"/>
      <c r="C820" s="3"/>
    </row>
    <row r="821" spans="2:3" x14ac:dyDescent="0.25">
      <c r="B821" s="3"/>
      <c r="C821" s="3"/>
    </row>
    <row r="822" spans="2:3" x14ac:dyDescent="0.25">
      <c r="B822" s="3"/>
      <c r="C822" s="3"/>
    </row>
    <row r="823" spans="2:3" x14ac:dyDescent="0.25">
      <c r="B823" s="3"/>
      <c r="C823" s="3"/>
    </row>
    <row r="824" spans="2:3" x14ac:dyDescent="0.25">
      <c r="B824" s="3"/>
      <c r="C824" s="3"/>
    </row>
    <row r="825" spans="2:3" x14ac:dyDescent="0.25">
      <c r="B825" s="3"/>
      <c r="C825" s="3"/>
    </row>
    <row r="826" spans="2:3" x14ac:dyDescent="0.25">
      <c r="B826" s="3"/>
      <c r="C826" s="3"/>
    </row>
    <row r="827" spans="2:3" x14ac:dyDescent="0.25">
      <c r="B827" s="3"/>
      <c r="C827" s="3"/>
    </row>
    <row r="828" spans="2:3" x14ac:dyDescent="0.25">
      <c r="B828" s="3"/>
      <c r="C828" s="3"/>
    </row>
    <row r="829" spans="2:3" x14ac:dyDescent="0.25">
      <c r="B829" s="3"/>
      <c r="C829" s="3"/>
    </row>
    <row r="830" spans="2:3" x14ac:dyDescent="0.25">
      <c r="B830" s="3"/>
      <c r="C830" s="3"/>
    </row>
    <row r="831" spans="2:3" x14ac:dyDescent="0.25">
      <c r="B831" s="3"/>
      <c r="C831" s="3"/>
    </row>
    <row r="832" spans="2:3" x14ac:dyDescent="0.25">
      <c r="B832" s="3"/>
      <c r="C832" s="3"/>
    </row>
    <row r="833" spans="2:3" x14ac:dyDescent="0.25">
      <c r="B833" s="3"/>
      <c r="C833" s="3"/>
    </row>
    <row r="834" spans="2:3" x14ac:dyDescent="0.25">
      <c r="B834" s="3"/>
      <c r="C834" s="3"/>
    </row>
    <row r="835" spans="2:3" x14ac:dyDescent="0.25">
      <c r="B835" s="3"/>
      <c r="C835" s="3"/>
    </row>
    <row r="836" spans="2:3" x14ac:dyDescent="0.25">
      <c r="B836" s="3"/>
      <c r="C836" s="3"/>
    </row>
    <row r="837" spans="2:3" x14ac:dyDescent="0.25">
      <c r="B837" s="3"/>
      <c r="C837" s="3"/>
    </row>
    <row r="838" spans="2:3" x14ac:dyDescent="0.25">
      <c r="B838" s="3"/>
      <c r="C838" s="3"/>
    </row>
    <row r="839" spans="2:3" x14ac:dyDescent="0.25">
      <c r="B839" s="3"/>
      <c r="C839" s="3"/>
    </row>
    <row r="840" spans="2:3" x14ac:dyDescent="0.25">
      <c r="B840" s="3"/>
      <c r="C840" s="3"/>
    </row>
    <row r="841" spans="2:3" x14ac:dyDescent="0.25">
      <c r="B841" s="3"/>
      <c r="C841" s="3"/>
    </row>
    <row r="842" spans="2:3" x14ac:dyDescent="0.25">
      <c r="B842" s="3"/>
      <c r="C842" s="3"/>
    </row>
    <row r="843" spans="2:3" x14ac:dyDescent="0.25">
      <c r="B843" s="3"/>
      <c r="C843" s="3"/>
    </row>
    <row r="844" spans="2:3" x14ac:dyDescent="0.25">
      <c r="B844" s="3"/>
      <c r="C844" s="3"/>
    </row>
    <row r="845" spans="2:3" x14ac:dyDescent="0.25">
      <c r="B845" s="3"/>
      <c r="C845" s="3"/>
    </row>
    <row r="846" spans="2:3" x14ac:dyDescent="0.25">
      <c r="B846" s="3"/>
      <c r="C846" s="3"/>
    </row>
    <row r="847" spans="2:3" x14ac:dyDescent="0.25">
      <c r="B847" s="3"/>
      <c r="C847" s="3"/>
    </row>
    <row r="848" spans="2:3" x14ac:dyDescent="0.25">
      <c r="B848" s="3"/>
      <c r="C848" s="3"/>
    </row>
    <row r="849" spans="2:3" x14ac:dyDescent="0.25">
      <c r="B849" s="3"/>
      <c r="C849" s="3"/>
    </row>
    <row r="850" spans="2:3" x14ac:dyDescent="0.25">
      <c r="B850" s="3"/>
      <c r="C850" s="3"/>
    </row>
    <row r="851" spans="2:3" x14ac:dyDescent="0.25">
      <c r="B851" s="3"/>
      <c r="C851" s="3"/>
    </row>
    <row r="852" spans="2:3" x14ac:dyDescent="0.25">
      <c r="B852" s="3"/>
      <c r="C852" s="3"/>
    </row>
    <row r="853" spans="2:3" x14ac:dyDescent="0.25">
      <c r="B853" s="3"/>
      <c r="C853" s="3"/>
    </row>
    <row r="854" spans="2:3" x14ac:dyDescent="0.25">
      <c r="B854" s="3"/>
      <c r="C854" s="3"/>
    </row>
    <row r="855" spans="2:3" x14ac:dyDescent="0.25">
      <c r="B855" s="3"/>
      <c r="C855" s="3"/>
    </row>
    <row r="856" spans="2:3" x14ac:dyDescent="0.25">
      <c r="B856" s="3"/>
      <c r="C856" s="3"/>
    </row>
    <row r="857" spans="2:3" x14ac:dyDescent="0.25">
      <c r="B857" s="3"/>
      <c r="C857" s="3"/>
    </row>
    <row r="858" spans="2:3" x14ac:dyDescent="0.25">
      <c r="B858" s="3"/>
      <c r="C858" s="3"/>
    </row>
    <row r="859" spans="2:3" x14ac:dyDescent="0.25">
      <c r="B859" s="3"/>
      <c r="C859" s="3"/>
    </row>
    <row r="860" spans="2:3" x14ac:dyDescent="0.25">
      <c r="B860" s="3"/>
      <c r="C860" s="3"/>
    </row>
    <row r="861" spans="2:3" x14ac:dyDescent="0.25">
      <c r="B861" s="3"/>
      <c r="C861" s="3"/>
    </row>
    <row r="862" spans="2:3" x14ac:dyDescent="0.25">
      <c r="B862" s="3"/>
      <c r="C862" s="3"/>
    </row>
    <row r="863" spans="2:3" x14ac:dyDescent="0.25">
      <c r="B863" s="3"/>
      <c r="C863" s="3"/>
    </row>
    <row r="864" spans="2:3" x14ac:dyDescent="0.25">
      <c r="B864" s="3"/>
      <c r="C864" s="3"/>
    </row>
    <row r="865" spans="2:3" x14ac:dyDescent="0.25">
      <c r="B865" s="3"/>
      <c r="C865" s="3"/>
    </row>
    <row r="866" spans="2:3" x14ac:dyDescent="0.25">
      <c r="B866" s="3"/>
      <c r="C866" s="3"/>
    </row>
    <row r="867" spans="2:3" x14ac:dyDescent="0.25">
      <c r="B867" s="3"/>
      <c r="C867" s="3"/>
    </row>
    <row r="868" spans="2:3" x14ac:dyDescent="0.25">
      <c r="B868" s="3"/>
      <c r="C868" s="3"/>
    </row>
    <row r="869" spans="2:3" x14ac:dyDescent="0.25">
      <c r="B869" s="3"/>
      <c r="C869" s="3"/>
    </row>
    <row r="870" spans="2:3" x14ac:dyDescent="0.25">
      <c r="B870" s="3"/>
      <c r="C870" s="3"/>
    </row>
    <row r="871" spans="2:3" x14ac:dyDescent="0.25">
      <c r="B871" s="3"/>
      <c r="C871" s="3"/>
    </row>
    <row r="872" spans="2:3" x14ac:dyDescent="0.25">
      <c r="B872" s="3"/>
      <c r="C872" s="3"/>
    </row>
    <row r="873" spans="2:3" x14ac:dyDescent="0.25">
      <c r="B873" s="3"/>
      <c r="C873" s="3"/>
    </row>
    <row r="874" spans="2:3" x14ac:dyDescent="0.25">
      <c r="B874" s="3"/>
      <c r="C874" s="3"/>
    </row>
    <row r="875" spans="2:3" x14ac:dyDescent="0.25">
      <c r="B875" s="3"/>
      <c r="C875" s="3"/>
    </row>
    <row r="876" spans="2:3" x14ac:dyDescent="0.25">
      <c r="B876" s="3"/>
      <c r="C876" s="3"/>
    </row>
    <row r="877" spans="2:3" x14ac:dyDescent="0.25">
      <c r="B877" s="3"/>
      <c r="C877" s="3"/>
    </row>
    <row r="878" spans="2:3" x14ac:dyDescent="0.25">
      <c r="B878" s="3"/>
      <c r="C878" s="3"/>
    </row>
    <row r="879" spans="2:3" x14ac:dyDescent="0.25">
      <c r="B879" s="3"/>
      <c r="C879" s="3"/>
    </row>
    <row r="880" spans="2:3" x14ac:dyDescent="0.25">
      <c r="B880" s="3"/>
      <c r="C880" s="3"/>
    </row>
    <row r="881" spans="2:3" x14ac:dyDescent="0.25">
      <c r="B881" s="3"/>
      <c r="C881" s="3"/>
    </row>
    <row r="882" spans="2:3" x14ac:dyDescent="0.25">
      <c r="B882" s="3"/>
      <c r="C882" s="3"/>
    </row>
    <row r="883" spans="2:3" x14ac:dyDescent="0.25">
      <c r="B883" s="3"/>
      <c r="C883" s="3"/>
    </row>
    <row r="884" spans="2:3" x14ac:dyDescent="0.25">
      <c r="B884" s="3"/>
      <c r="C884" s="3"/>
    </row>
    <row r="885" spans="2:3" x14ac:dyDescent="0.25">
      <c r="B885" s="3"/>
      <c r="C885" s="3"/>
    </row>
    <row r="886" spans="2:3" x14ac:dyDescent="0.25">
      <c r="B886" s="3"/>
      <c r="C886" s="3"/>
    </row>
    <row r="887" spans="2:3" x14ac:dyDescent="0.25">
      <c r="B887" s="3"/>
      <c r="C887" s="3"/>
    </row>
    <row r="888" spans="2:3" x14ac:dyDescent="0.25">
      <c r="B888" s="3"/>
      <c r="C888" s="3"/>
    </row>
    <row r="889" spans="2:3" x14ac:dyDescent="0.25">
      <c r="B889" s="3"/>
      <c r="C889" s="3"/>
    </row>
    <row r="890" spans="2:3" x14ac:dyDescent="0.25">
      <c r="B890" s="3"/>
      <c r="C890" s="3"/>
    </row>
    <row r="891" spans="2:3" x14ac:dyDescent="0.25">
      <c r="B891" s="3"/>
      <c r="C891" s="3"/>
    </row>
    <row r="892" spans="2:3" x14ac:dyDescent="0.25">
      <c r="B892" s="3"/>
      <c r="C892" s="3"/>
    </row>
    <row r="893" spans="2:3" x14ac:dyDescent="0.25">
      <c r="B893" s="3"/>
      <c r="C893" s="3"/>
    </row>
    <row r="894" spans="2:3" x14ac:dyDescent="0.25">
      <c r="B894" s="3"/>
      <c r="C894" s="3"/>
    </row>
    <row r="895" spans="2:3" x14ac:dyDescent="0.25">
      <c r="B895" s="3"/>
      <c r="C895" s="3"/>
    </row>
    <row r="896" spans="2:3" x14ac:dyDescent="0.25">
      <c r="B896" s="3"/>
      <c r="C896" s="3"/>
    </row>
    <row r="897" spans="2:3" x14ac:dyDescent="0.25">
      <c r="B897" s="3"/>
      <c r="C897" s="3"/>
    </row>
    <row r="898" spans="2:3" x14ac:dyDescent="0.25">
      <c r="B898" s="3"/>
      <c r="C898" s="3"/>
    </row>
    <row r="899" spans="2:3" x14ac:dyDescent="0.25">
      <c r="B899" s="3"/>
      <c r="C899" s="3"/>
    </row>
    <row r="900" spans="2:3" x14ac:dyDescent="0.25">
      <c r="B900" s="3"/>
      <c r="C900" s="3"/>
    </row>
    <row r="901" spans="2:3" x14ac:dyDescent="0.25">
      <c r="B901" s="3"/>
      <c r="C901" s="3"/>
    </row>
    <row r="902" spans="2:3" x14ac:dyDescent="0.25">
      <c r="B902" s="3"/>
      <c r="C902" s="3"/>
    </row>
    <row r="903" spans="2:3" x14ac:dyDescent="0.25">
      <c r="B903" s="3"/>
      <c r="C903" s="3"/>
    </row>
    <row r="904" spans="2:3" x14ac:dyDescent="0.25">
      <c r="B904" s="3"/>
      <c r="C904" s="3"/>
    </row>
    <row r="905" spans="2:3" x14ac:dyDescent="0.25">
      <c r="B905" s="3"/>
      <c r="C905" s="3"/>
    </row>
    <row r="906" spans="2:3" x14ac:dyDescent="0.25">
      <c r="B906" s="3"/>
      <c r="C906" s="3"/>
    </row>
    <row r="907" spans="2:3" x14ac:dyDescent="0.25">
      <c r="B907" s="3"/>
      <c r="C907" s="3"/>
    </row>
    <row r="908" spans="2:3" x14ac:dyDescent="0.25">
      <c r="B908" s="3"/>
      <c r="C908" s="3"/>
    </row>
    <row r="909" spans="2:3" x14ac:dyDescent="0.25">
      <c r="B909" s="3"/>
      <c r="C909" s="3"/>
    </row>
    <row r="910" spans="2:3" x14ac:dyDescent="0.25">
      <c r="B910" s="3"/>
      <c r="C910" s="3"/>
    </row>
    <row r="911" spans="2:3" x14ac:dyDescent="0.25">
      <c r="B911" s="3"/>
      <c r="C911" s="3"/>
    </row>
    <row r="912" spans="2:3" x14ac:dyDescent="0.25">
      <c r="B912" s="3"/>
      <c r="C912" s="3"/>
    </row>
    <row r="913" spans="2:3" x14ac:dyDescent="0.25">
      <c r="B913" s="3"/>
      <c r="C913" s="3"/>
    </row>
    <row r="914" spans="2:3" x14ac:dyDescent="0.25">
      <c r="B914" s="3"/>
      <c r="C914" s="3"/>
    </row>
    <row r="915" spans="2:3" x14ac:dyDescent="0.25">
      <c r="B915" s="3"/>
      <c r="C915" s="3"/>
    </row>
    <row r="916" spans="2:3" x14ac:dyDescent="0.25">
      <c r="B916" s="3"/>
      <c r="C916" s="3"/>
    </row>
    <row r="917" spans="2:3" x14ac:dyDescent="0.25">
      <c r="B917" s="3"/>
      <c r="C917" s="3"/>
    </row>
    <row r="918" spans="2:3" x14ac:dyDescent="0.25">
      <c r="B918" s="3"/>
      <c r="C918" s="3"/>
    </row>
    <row r="919" spans="2:3" x14ac:dyDescent="0.25">
      <c r="B919" s="3"/>
      <c r="C919" s="3"/>
    </row>
    <row r="920" spans="2:3" x14ac:dyDescent="0.25">
      <c r="B920" s="3"/>
      <c r="C920" s="3"/>
    </row>
    <row r="921" spans="2:3" x14ac:dyDescent="0.25">
      <c r="B921" s="3"/>
      <c r="C921" s="3"/>
    </row>
    <row r="922" spans="2:3" x14ac:dyDescent="0.25">
      <c r="B922" s="3"/>
      <c r="C922" s="3"/>
    </row>
    <row r="923" spans="2:3" x14ac:dyDescent="0.25">
      <c r="B923" s="3"/>
      <c r="C923" s="3"/>
    </row>
    <row r="924" spans="2:3" x14ac:dyDescent="0.25">
      <c r="B924" s="3"/>
      <c r="C924" s="3"/>
    </row>
    <row r="925" spans="2:3" x14ac:dyDescent="0.25">
      <c r="B925" s="3"/>
      <c r="C925" s="3"/>
    </row>
    <row r="926" spans="2:3" x14ac:dyDescent="0.25">
      <c r="B926" s="3"/>
      <c r="C926" s="3"/>
    </row>
    <row r="927" spans="2:3" x14ac:dyDescent="0.25">
      <c r="B927" s="3"/>
      <c r="C927" s="3"/>
    </row>
    <row r="928" spans="2:3" x14ac:dyDescent="0.25">
      <c r="B928" s="3"/>
      <c r="C928" s="3"/>
    </row>
    <row r="929" spans="2:3" x14ac:dyDescent="0.25">
      <c r="B929" s="3"/>
      <c r="C929" s="3"/>
    </row>
    <row r="930" spans="2:3" x14ac:dyDescent="0.25">
      <c r="B930" s="3"/>
      <c r="C930" s="3"/>
    </row>
    <row r="931" spans="2:3" x14ac:dyDescent="0.25">
      <c r="B931" s="3"/>
      <c r="C931" s="3"/>
    </row>
    <row r="932" spans="2:3" x14ac:dyDescent="0.25">
      <c r="B932" s="3"/>
      <c r="C932" s="3"/>
    </row>
    <row r="933" spans="2:3" x14ac:dyDescent="0.25">
      <c r="B933" s="3"/>
      <c r="C933" s="3"/>
    </row>
    <row r="934" spans="2:3" x14ac:dyDescent="0.25">
      <c r="B934" s="3"/>
      <c r="C934" s="3"/>
    </row>
    <row r="935" spans="2:3" x14ac:dyDescent="0.25">
      <c r="B935" s="3"/>
      <c r="C935" s="3"/>
    </row>
    <row r="936" spans="2:3" x14ac:dyDescent="0.25">
      <c r="B936" s="3"/>
      <c r="C936" s="3"/>
    </row>
    <row r="937" spans="2:3" x14ac:dyDescent="0.25">
      <c r="B937" s="3"/>
      <c r="C937" s="3"/>
    </row>
    <row r="938" spans="2:3" x14ac:dyDescent="0.25">
      <c r="B938" s="3"/>
      <c r="C938" s="3"/>
    </row>
    <row r="939" spans="2:3" x14ac:dyDescent="0.25">
      <c r="B939" s="3"/>
      <c r="C939" s="3"/>
    </row>
    <row r="940" spans="2:3" x14ac:dyDescent="0.25">
      <c r="B940" s="3"/>
      <c r="C940" s="3"/>
    </row>
    <row r="941" spans="2:3" x14ac:dyDescent="0.25">
      <c r="B941" s="3"/>
      <c r="C941" s="3"/>
    </row>
    <row r="942" spans="2:3" x14ac:dyDescent="0.25">
      <c r="B942" s="3"/>
      <c r="C942" s="3"/>
    </row>
    <row r="943" spans="2:3" x14ac:dyDescent="0.25">
      <c r="B943" s="3"/>
      <c r="C943" s="3"/>
    </row>
    <row r="944" spans="2:3" x14ac:dyDescent="0.25">
      <c r="B944" s="3"/>
      <c r="C944" s="3"/>
    </row>
    <row r="945" spans="2:3" x14ac:dyDescent="0.25">
      <c r="B945" s="3"/>
      <c r="C945" s="3"/>
    </row>
    <row r="946" spans="2:3" x14ac:dyDescent="0.25">
      <c r="B946" s="3"/>
      <c r="C946" s="3"/>
    </row>
    <row r="947" spans="2:3" x14ac:dyDescent="0.25">
      <c r="B947" s="3"/>
      <c r="C947" s="3"/>
    </row>
    <row r="948" spans="2:3" x14ac:dyDescent="0.25">
      <c r="B948" s="3"/>
      <c r="C948" s="3"/>
    </row>
    <row r="949" spans="2:3" x14ac:dyDescent="0.25">
      <c r="B949" s="3"/>
      <c r="C949" s="3"/>
    </row>
    <row r="950" spans="2:3" x14ac:dyDescent="0.25">
      <c r="B950" s="3"/>
      <c r="C950" s="3"/>
    </row>
    <row r="951" spans="2:3" x14ac:dyDescent="0.25">
      <c r="B951" s="3"/>
      <c r="C951" s="3"/>
    </row>
    <row r="952" spans="2:3" x14ac:dyDescent="0.25">
      <c r="B952" s="3"/>
      <c r="C952" s="3"/>
    </row>
    <row r="953" spans="2:3" x14ac:dyDescent="0.25">
      <c r="B953" s="3"/>
      <c r="C953" s="3"/>
    </row>
    <row r="954" spans="2:3" x14ac:dyDescent="0.25">
      <c r="B954" s="3"/>
      <c r="C954" s="3"/>
    </row>
    <row r="955" spans="2:3" x14ac:dyDescent="0.25">
      <c r="B955" s="3"/>
      <c r="C955" s="3"/>
    </row>
    <row r="956" spans="2:3" x14ac:dyDescent="0.25">
      <c r="B956" s="3"/>
      <c r="C956" s="3"/>
    </row>
    <row r="957" spans="2:3" x14ac:dyDescent="0.25">
      <c r="B957" s="3"/>
      <c r="C957" s="3"/>
    </row>
    <row r="958" spans="2:3" x14ac:dyDescent="0.25">
      <c r="B958" s="3"/>
      <c r="C958" s="3"/>
    </row>
    <row r="959" spans="2:3" x14ac:dyDescent="0.25">
      <c r="B959" s="3"/>
      <c r="C959" s="3"/>
    </row>
    <row r="960" spans="2:3" x14ac:dyDescent="0.25">
      <c r="B960" s="3"/>
      <c r="C960" s="3"/>
    </row>
    <row r="961" spans="2:3" x14ac:dyDescent="0.25">
      <c r="B961" s="3"/>
      <c r="C961" s="3"/>
    </row>
    <row r="962" spans="2:3" x14ac:dyDescent="0.25">
      <c r="B962" s="3"/>
      <c r="C962" s="3"/>
    </row>
    <row r="963" spans="2:3" x14ac:dyDescent="0.25">
      <c r="B963" s="3"/>
      <c r="C963" s="3"/>
    </row>
    <row r="964" spans="2:3" x14ac:dyDescent="0.25">
      <c r="B964" s="3"/>
      <c r="C964" s="3"/>
    </row>
    <row r="965" spans="2:3" x14ac:dyDescent="0.25">
      <c r="B965" s="3"/>
      <c r="C965" s="3"/>
    </row>
    <row r="966" spans="2:3" x14ac:dyDescent="0.25">
      <c r="B966" s="3"/>
      <c r="C966" s="3"/>
    </row>
    <row r="967" spans="2:3" x14ac:dyDescent="0.25">
      <c r="B967" s="3"/>
      <c r="C967" s="3"/>
    </row>
    <row r="968" spans="2:3" x14ac:dyDescent="0.25">
      <c r="B968" s="3"/>
      <c r="C968" s="3"/>
    </row>
    <row r="969" spans="2:3" x14ac:dyDescent="0.25">
      <c r="B969" s="3"/>
      <c r="C969" s="3"/>
    </row>
    <row r="970" spans="2:3" x14ac:dyDescent="0.25">
      <c r="B970" s="3"/>
      <c r="C970" s="3"/>
    </row>
    <row r="971" spans="2:3" x14ac:dyDescent="0.25">
      <c r="B971" s="3"/>
      <c r="C971" s="3"/>
    </row>
    <row r="972" spans="2:3" x14ac:dyDescent="0.25">
      <c r="B972" s="3"/>
      <c r="C972" s="3"/>
    </row>
    <row r="973" spans="2:3" x14ac:dyDescent="0.25">
      <c r="B973" s="3"/>
      <c r="C973" s="3"/>
    </row>
    <row r="974" spans="2:3" x14ac:dyDescent="0.25">
      <c r="B974" s="3"/>
      <c r="C974" s="3"/>
    </row>
    <row r="975" spans="2:3" x14ac:dyDescent="0.25">
      <c r="B975" s="3"/>
      <c r="C975" s="3"/>
    </row>
    <row r="976" spans="2:3" x14ac:dyDescent="0.25">
      <c r="B976" s="3"/>
      <c r="C976" s="3"/>
    </row>
    <row r="977" spans="2:3" x14ac:dyDescent="0.25">
      <c r="B977" s="3"/>
      <c r="C977" s="3"/>
    </row>
    <row r="978" spans="2:3" x14ac:dyDescent="0.25">
      <c r="B978" s="3"/>
      <c r="C978" s="3"/>
    </row>
    <row r="979" spans="2:3" x14ac:dyDescent="0.25">
      <c r="B979" s="3"/>
      <c r="C979" s="3"/>
    </row>
    <row r="980" spans="2:3" x14ac:dyDescent="0.25">
      <c r="B980" s="3"/>
      <c r="C980" s="3"/>
    </row>
    <row r="981" spans="2:3" x14ac:dyDescent="0.25">
      <c r="B981" s="3"/>
      <c r="C981" s="3"/>
    </row>
    <row r="982" spans="2:3" x14ac:dyDescent="0.25">
      <c r="B982" s="3"/>
      <c r="C982" s="3"/>
    </row>
    <row r="983" spans="2:3" x14ac:dyDescent="0.25">
      <c r="B983" s="3"/>
      <c r="C983" s="3"/>
    </row>
    <row r="984" spans="2:3" x14ac:dyDescent="0.25">
      <c r="B984" s="3"/>
      <c r="C984" s="3"/>
    </row>
    <row r="985" spans="2:3" x14ac:dyDescent="0.25">
      <c r="B985" s="3"/>
      <c r="C985" s="3"/>
    </row>
    <row r="986" spans="2:3" x14ac:dyDescent="0.25">
      <c r="B986" s="3"/>
      <c r="C986" s="3"/>
    </row>
    <row r="987" spans="2:3" x14ac:dyDescent="0.25">
      <c r="B987" s="3"/>
      <c r="C987" s="3"/>
    </row>
    <row r="988" spans="2:3" x14ac:dyDescent="0.25">
      <c r="B988" s="3"/>
      <c r="C988" s="3"/>
    </row>
    <row r="989" spans="2:3" x14ac:dyDescent="0.25">
      <c r="B989" s="3"/>
      <c r="C989" s="3"/>
    </row>
    <row r="990" spans="2:3" x14ac:dyDescent="0.25">
      <c r="B990" s="3"/>
      <c r="C990" s="3"/>
    </row>
    <row r="991" spans="2:3" x14ac:dyDescent="0.25">
      <c r="B991" s="3"/>
      <c r="C991" s="3"/>
    </row>
    <row r="992" spans="2:3" x14ac:dyDescent="0.25">
      <c r="B992" s="3"/>
      <c r="C992" s="3"/>
    </row>
    <row r="993" spans="2:3" x14ac:dyDescent="0.25">
      <c r="B993" s="3"/>
      <c r="C993" s="3"/>
    </row>
    <row r="994" spans="2:3" x14ac:dyDescent="0.25">
      <c r="B994" s="3"/>
      <c r="C994" s="3"/>
    </row>
    <row r="995" spans="2:3" x14ac:dyDescent="0.25">
      <c r="B995" s="3"/>
      <c r="C995" s="3"/>
    </row>
    <row r="996" spans="2:3" x14ac:dyDescent="0.25">
      <c r="B996" s="3"/>
      <c r="C996" s="3"/>
    </row>
    <row r="997" spans="2:3" x14ac:dyDescent="0.25">
      <c r="B997" s="3"/>
      <c r="C997" s="3"/>
    </row>
    <row r="998" spans="2:3" x14ac:dyDescent="0.25">
      <c r="B998" s="3"/>
      <c r="C998" s="3"/>
    </row>
    <row r="999" spans="2:3" x14ac:dyDescent="0.25">
      <c r="B999" s="3"/>
      <c r="C999" s="3"/>
    </row>
    <row r="1000" spans="2:3" x14ac:dyDescent="0.25">
      <c r="B1000" s="3"/>
      <c r="C1000" s="3"/>
    </row>
    <row r="1001" spans="2:3" x14ac:dyDescent="0.25">
      <c r="B1001" s="3"/>
      <c r="C1001" s="3"/>
    </row>
    <row r="1002" spans="2:3" x14ac:dyDescent="0.25">
      <c r="B1002" s="3"/>
      <c r="C1002" s="3"/>
    </row>
    <row r="1003" spans="2:3" x14ac:dyDescent="0.25">
      <c r="B1003" s="3"/>
      <c r="C1003" s="3"/>
    </row>
    <row r="1004" spans="2:3" x14ac:dyDescent="0.25">
      <c r="B1004" s="3"/>
      <c r="C1004" s="3"/>
    </row>
    <row r="1005" spans="2:3" x14ac:dyDescent="0.25">
      <c r="B1005" s="3"/>
      <c r="C1005" s="3"/>
    </row>
    <row r="1006" spans="2:3" x14ac:dyDescent="0.25">
      <c r="B1006" s="3"/>
      <c r="C1006" s="3"/>
    </row>
    <row r="1007" spans="2:3" x14ac:dyDescent="0.25">
      <c r="B1007" s="3"/>
      <c r="C1007" s="3"/>
    </row>
    <row r="1008" spans="2:3" x14ac:dyDescent="0.25">
      <c r="B1008" s="3"/>
      <c r="C1008" s="3"/>
    </row>
    <row r="1009" spans="2:3" x14ac:dyDescent="0.25">
      <c r="B1009" s="3"/>
      <c r="C1009" s="3"/>
    </row>
    <row r="1010" spans="2:3" x14ac:dyDescent="0.25">
      <c r="B1010" s="3"/>
      <c r="C1010" s="3"/>
    </row>
    <row r="1011" spans="2:3" x14ac:dyDescent="0.25">
      <c r="B1011" s="3"/>
      <c r="C1011" s="3"/>
    </row>
    <row r="1012" spans="2:3" x14ac:dyDescent="0.25">
      <c r="B1012" s="3"/>
      <c r="C1012" s="3"/>
    </row>
    <row r="1013" spans="2:3" x14ac:dyDescent="0.25">
      <c r="B1013" s="3"/>
      <c r="C1013" s="3"/>
    </row>
    <row r="1014" spans="2:3" x14ac:dyDescent="0.25">
      <c r="B1014" s="3"/>
      <c r="C1014" s="3"/>
    </row>
    <row r="1015" spans="2:3" x14ac:dyDescent="0.25">
      <c r="B1015" s="3"/>
      <c r="C1015" s="3"/>
    </row>
    <row r="1016" spans="2:3" x14ac:dyDescent="0.25">
      <c r="B1016" s="3"/>
      <c r="C1016" s="3"/>
    </row>
    <row r="1017" spans="2:3" x14ac:dyDescent="0.25">
      <c r="B1017" s="3"/>
      <c r="C1017" s="3"/>
    </row>
    <row r="1018" spans="2:3" x14ac:dyDescent="0.25">
      <c r="B1018" s="3"/>
      <c r="C1018" s="3"/>
    </row>
    <row r="1019" spans="2:3" x14ac:dyDescent="0.25">
      <c r="B1019" s="3"/>
      <c r="C1019" s="3"/>
    </row>
    <row r="1020" spans="2:3" x14ac:dyDescent="0.25">
      <c r="B1020" s="3"/>
      <c r="C1020" s="3"/>
    </row>
    <row r="1021" spans="2:3" x14ac:dyDescent="0.25">
      <c r="B1021" s="3"/>
      <c r="C1021" s="3"/>
    </row>
    <row r="1022" spans="2:3" x14ac:dyDescent="0.25">
      <c r="B1022" s="3"/>
      <c r="C1022" s="3"/>
    </row>
    <row r="1023" spans="2:3" x14ac:dyDescent="0.25">
      <c r="B1023" s="3"/>
      <c r="C1023" s="3"/>
    </row>
    <row r="1024" spans="2:3" x14ac:dyDescent="0.25">
      <c r="B1024" s="3"/>
      <c r="C1024" s="3"/>
    </row>
    <row r="1025" spans="2:3" x14ac:dyDescent="0.25">
      <c r="B1025" s="3"/>
      <c r="C1025" s="3"/>
    </row>
    <row r="1026" spans="2:3" x14ac:dyDescent="0.25">
      <c r="B1026" s="3"/>
      <c r="C1026" s="3"/>
    </row>
    <row r="1027" spans="2:3" x14ac:dyDescent="0.25">
      <c r="B1027" s="3"/>
      <c r="C1027" s="3"/>
    </row>
    <row r="1028" spans="2:3" x14ac:dyDescent="0.25">
      <c r="B1028" s="3"/>
      <c r="C1028" s="3"/>
    </row>
    <row r="1029" spans="2:3" x14ac:dyDescent="0.25">
      <c r="B1029" s="3"/>
      <c r="C1029" s="3"/>
    </row>
    <row r="1030" spans="2:3" x14ac:dyDescent="0.25">
      <c r="B1030" s="3"/>
      <c r="C1030" s="3"/>
    </row>
    <row r="1031" spans="2:3" x14ac:dyDescent="0.25">
      <c r="B1031" s="3"/>
      <c r="C1031" s="3"/>
    </row>
    <row r="1032" spans="2:3" x14ac:dyDescent="0.25">
      <c r="B1032" s="3"/>
      <c r="C1032" s="3"/>
    </row>
    <row r="1033" spans="2:3" x14ac:dyDescent="0.25">
      <c r="B1033" s="3"/>
      <c r="C1033" s="3"/>
    </row>
    <row r="1034" spans="2:3" x14ac:dyDescent="0.25">
      <c r="B1034" s="3"/>
      <c r="C1034" s="3"/>
    </row>
    <row r="1035" spans="2:3" x14ac:dyDescent="0.25">
      <c r="B1035" s="3"/>
      <c r="C1035" s="3"/>
    </row>
    <row r="1036" spans="2:3" x14ac:dyDescent="0.25">
      <c r="B1036" s="3"/>
      <c r="C1036" s="3"/>
    </row>
    <row r="1037" spans="2:3" x14ac:dyDescent="0.25">
      <c r="B1037" s="3"/>
      <c r="C1037" s="3"/>
    </row>
    <row r="1038" spans="2:3" x14ac:dyDescent="0.25">
      <c r="B1038" s="3"/>
      <c r="C1038" s="3"/>
    </row>
    <row r="1039" spans="2:3" x14ac:dyDescent="0.25">
      <c r="B1039" s="3"/>
      <c r="C1039" s="3"/>
    </row>
    <row r="1040" spans="2:3" x14ac:dyDescent="0.25">
      <c r="B1040" s="3"/>
      <c r="C1040" s="3"/>
    </row>
    <row r="1041" spans="2:3" x14ac:dyDescent="0.25">
      <c r="B1041" s="3"/>
      <c r="C1041" s="3"/>
    </row>
    <row r="1042" spans="2:3" x14ac:dyDescent="0.25">
      <c r="B1042" s="3"/>
      <c r="C1042" s="3"/>
    </row>
    <row r="1043" spans="2:3" x14ac:dyDescent="0.25">
      <c r="B1043" s="3"/>
      <c r="C1043" s="3"/>
    </row>
    <row r="1044" spans="2:3" x14ac:dyDescent="0.25">
      <c r="B1044" s="3"/>
      <c r="C1044" s="3"/>
    </row>
    <row r="1045" spans="2:3" x14ac:dyDescent="0.25">
      <c r="B1045" s="3"/>
      <c r="C1045" s="3"/>
    </row>
    <row r="1046" spans="2:3" x14ac:dyDescent="0.25">
      <c r="B1046" s="3"/>
      <c r="C1046" s="3"/>
    </row>
    <row r="1047" spans="2:3" x14ac:dyDescent="0.25">
      <c r="B1047" s="3"/>
      <c r="C1047" s="3"/>
    </row>
    <row r="1048" spans="2:3" x14ac:dyDescent="0.25">
      <c r="B1048" s="3"/>
      <c r="C1048" s="3"/>
    </row>
    <row r="1049" spans="2:3" x14ac:dyDescent="0.25">
      <c r="B1049" s="3"/>
      <c r="C1049" s="3"/>
    </row>
    <row r="1050" spans="2:3" x14ac:dyDescent="0.25">
      <c r="B1050" s="3"/>
      <c r="C1050" s="3"/>
    </row>
    <row r="1051" spans="2:3" x14ac:dyDescent="0.25">
      <c r="B1051" s="3"/>
      <c r="C1051" s="3"/>
    </row>
    <row r="1052" spans="2:3" x14ac:dyDescent="0.25">
      <c r="B1052" s="3"/>
      <c r="C1052" s="3"/>
    </row>
    <row r="1053" spans="2:3" x14ac:dyDescent="0.25">
      <c r="B1053" s="3"/>
      <c r="C1053" s="3"/>
    </row>
    <row r="1054" spans="2:3" x14ac:dyDescent="0.25">
      <c r="B1054" s="3"/>
      <c r="C1054" s="3"/>
    </row>
    <row r="1055" spans="2:3" x14ac:dyDescent="0.25">
      <c r="B1055" s="3"/>
      <c r="C1055" s="3"/>
    </row>
    <row r="1056" spans="2:3" x14ac:dyDescent="0.25">
      <c r="B1056" s="3"/>
      <c r="C1056" s="3"/>
    </row>
    <row r="1057" spans="2:3" x14ac:dyDescent="0.25">
      <c r="B1057" s="3"/>
      <c r="C1057" s="3"/>
    </row>
    <row r="1058" spans="2:3" x14ac:dyDescent="0.25">
      <c r="B1058" s="3"/>
      <c r="C1058" s="3"/>
    </row>
    <row r="1059" spans="2:3" x14ac:dyDescent="0.25">
      <c r="B1059" s="3"/>
      <c r="C1059" s="3"/>
    </row>
    <row r="1060" spans="2:3" x14ac:dyDescent="0.25">
      <c r="B1060" s="3"/>
      <c r="C1060" s="3"/>
    </row>
    <row r="1061" spans="2:3" x14ac:dyDescent="0.25">
      <c r="B1061" s="3"/>
      <c r="C1061" s="3"/>
    </row>
    <row r="1062" spans="2:3" x14ac:dyDescent="0.25">
      <c r="B1062" s="3"/>
      <c r="C1062" s="3"/>
    </row>
    <row r="1063" spans="2:3" x14ac:dyDescent="0.25">
      <c r="B1063" s="3"/>
      <c r="C1063" s="3"/>
    </row>
    <row r="1064" spans="2:3" x14ac:dyDescent="0.25">
      <c r="B1064" s="3"/>
      <c r="C1064" s="3"/>
    </row>
    <row r="1065" spans="2:3" x14ac:dyDescent="0.25">
      <c r="B1065" s="3"/>
      <c r="C1065" s="3"/>
    </row>
    <row r="1066" spans="2:3" x14ac:dyDescent="0.25">
      <c r="B1066" s="3"/>
      <c r="C1066" s="3"/>
    </row>
    <row r="1067" spans="2:3" x14ac:dyDescent="0.25">
      <c r="B1067" s="3"/>
      <c r="C1067" s="3"/>
    </row>
    <row r="1068" spans="2:3" x14ac:dyDescent="0.25">
      <c r="B1068" s="3"/>
      <c r="C1068" s="3"/>
    </row>
    <row r="1069" spans="2:3" x14ac:dyDescent="0.25">
      <c r="B1069" s="3"/>
      <c r="C1069" s="3"/>
    </row>
    <row r="1070" spans="2:3" x14ac:dyDescent="0.25">
      <c r="B1070" s="3"/>
      <c r="C1070" s="3"/>
    </row>
    <row r="1071" spans="2:3" x14ac:dyDescent="0.25">
      <c r="B1071" s="3"/>
      <c r="C1071" s="3"/>
    </row>
    <row r="1072" spans="2:3" x14ac:dyDescent="0.25">
      <c r="B1072" s="3"/>
      <c r="C1072" s="3"/>
    </row>
    <row r="1073" spans="2:3" x14ac:dyDescent="0.25">
      <c r="B1073" s="3"/>
      <c r="C1073" s="3"/>
    </row>
    <row r="1074" spans="2:3" x14ac:dyDescent="0.25">
      <c r="B1074" s="3"/>
      <c r="C1074" s="3"/>
    </row>
    <row r="1075" spans="2:3" x14ac:dyDescent="0.25">
      <c r="B1075" s="3"/>
      <c r="C1075" s="3"/>
    </row>
    <row r="1076" spans="2:3" x14ac:dyDescent="0.25">
      <c r="B1076" s="3"/>
      <c r="C1076" s="3"/>
    </row>
    <row r="1077" spans="2:3" x14ac:dyDescent="0.25">
      <c r="B1077" s="3"/>
      <c r="C1077" s="3"/>
    </row>
    <row r="1078" spans="2:3" x14ac:dyDescent="0.25">
      <c r="B1078" s="3"/>
      <c r="C1078" s="3"/>
    </row>
    <row r="1079" spans="2:3" x14ac:dyDescent="0.25">
      <c r="B1079" s="3"/>
      <c r="C1079" s="3"/>
    </row>
    <row r="1080" spans="2:3" x14ac:dyDescent="0.25">
      <c r="B1080" s="3"/>
      <c r="C1080" s="3"/>
    </row>
    <row r="1081" spans="2:3" x14ac:dyDescent="0.25">
      <c r="B1081" s="3"/>
      <c r="C1081" s="3"/>
    </row>
    <row r="1082" spans="2:3" x14ac:dyDescent="0.25">
      <c r="B1082" s="3"/>
      <c r="C1082" s="3"/>
    </row>
    <row r="1083" spans="2:3" x14ac:dyDescent="0.25">
      <c r="B1083" s="3"/>
      <c r="C1083" s="3"/>
    </row>
    <row r="1084" spans="2:3" x14ac:dyDescent="0.25">
      <c r="B1084" s="3"/>
      <c r="C1084" s="3"/>
    </row>
    <row r="1085" spans="2:3" x14ac:dyDescent="0.25">
      <c r="B1085" s="3"/>
      <c r="C1085" s="3"/>
    </row>
    <row r="1086" spans="2:3" x14ac:dyDescent="0.25">
      <c r="B1086" s="3"/>
      <c r="C1086" s="3"/>
    </row>
    <row r="1087" spans="2:3" x14ac:dyDescent="0.25">
      <c r="B1087" s="3"/>
      <c r="C1087" s="3"/>
    </row>
    <row r="1088" spans="2:3" x14ac:dyDescent="0.25">
      <c r="B1088" s="3"/>
      <c r="C1088" s="3"/>
    </row>
    <row r="1089" spans="2:3" x14ac:dyDescent="0.25">
      <c r="B1089" s="3"/>
      <c r="C1089" s="3"/>
    </row>
    <row r="1090" spans="2:3" x14ac:dyDescent="0.25">
      <c r="B1090" s="3"/>
      <c r="C1090" s="3"/>
    </row>
    <row r="1091" spans="2:3" x14ac:dyDescent="0.25">
      <c r="B1091" s="3"/>
      <c r="C1091" s="3"/>
    </row>
    <row r="1092" spans="2:3" x14ac:dyDescent="0.25">
      <c r="B1092" s="3"/>
      <c r="C1092" s="3"/>
    </row>
    <row r="1093" spans="2:3" x14ac:dyDescent="0.25">
      <c r="B1093" s="3"/>
      <c r="C1093" s="3"/>
    </row>
    <row r="1094" spans="2:3" x14ac:dyDescent="0.25">
      <c r="B1094" s="3"/>
      <c r="C1094" s="3"/>
    </row>
    <row r="1095" spans="2:3" x14ac:dyDescent="0.25">
      <c r="B1095" s="3"/>
      <c r="C1095" s="3"/>
    </row>
    <row r="1096" spans="2:3" x14ac:dyDescent="0.25">
      <c r="B1096" s="3"/>
      <c r="C1096" s="3"/>
    </row>
    <row r="1097" spans="2:3" x14ac:dyDescent="0.25">
      <c r="B1097" s="3"/>
      <c r="C1097" s="3"/>
    </row>
    <row r="1098" spans="2:3" x14ac:dyDescent="0.25">
      <c r="B1098" s="3"/>
      <c r="C1098" s="3"/>
    </row>
    <row r="1099" spans="2:3" x14ac:dyDescent="0.25">
      <c r="B1099" s="3"/>
      <c r="C1099" s="3"/>
    </row>
    <row r="1100" spans="2:3" x14ac:dyDescent="0.25">
      <c r="B1100" s="3"/>
      <c r="C1100" s="3"/>
    </row>
    <row r="1101" spans="2:3" x14ac:dyDescent="0.25">
      <c r="B1101" s="3"/>
      <c r="C1101" s="3"/>
    </row>
    <row r="1102" spans="2:3" x14ac:dyDescent="0.25">
      <c r="B1102" s="3"/>
      <c r="C1102" s="3"/>
    </row>
    <row r="1103" spans="2:3" x14ac:dyDescent="0.25">
      <c r="B1103" s="3"/>
      <c r="C1103" s="3"/>
    </row>
    <row r="1104" spans="2:3" x14ac:dyDescent="0.25">
      <c r="B1104" s="3"/>
      <c r="C1104" s="3"/>
    </row>
    <row r="1105" spans="2:3" x14ac:dyDescent="0.25">
      <c r="B1105" s="3"/>
      <c r="C1105" s="3"/>
    </row>
    <row r="1106" spans="2:3" x14ac:dyDescent="0.25">
      <c r="B1106" s="3"/>
      <c r="C1106" s="3"/>
    </row>
    <row r="1107" spans="2:3" x14ac:dyDescent="0.25">
      <c r="B1107" s="3"/>
      <c r="C1107" s="3"/>
    </row>
    <row r="1108" spans="2:3" x14ac:dyDescent="0.25">
      <c r="B1108" s="3"/>
      <c r="C1108" s="3"/>
    </row>
    <row r="1109" spans="2:3" x14ac:dyDescent="0.25">
      <c r="B1109" s="3"/>
      <c r="C1109" s="3"/>
    </row>
    <row r="1110" spans="2:3" x14ac:dyDescent="0.25">
      <c r="B1110" s="3"/>
      <c r="C1110" s="3"/>
    </row>
    <row r="1111" spans="2:3" x14ac:dyDescent="0.25">
      <c r="B1111" s="3"/>
      <c r="C1111" s="3"/>
    </row>
    <row r="1112" spans="2:3" x14ac:dyDescent="0.25">
      <c r="B1112" s="3"/>
      <c r="C1112" s="3"/>
    </row>
    <row r="1113" spans="2:3" x14ac:dyDescent="0.25">
      <c r="B1113" s="3"/>
      <c r="C1113" s="3"/>
    </row>
    <row r="1114" spans="2:3" x14ac:dyDescent="0.25">
      <c r="B1114" s="3"/>
      <c r="C1114" s="3"/>
    </row>
    <row r="1115" spans="2:3" x14ac:dyDescent="0.25">
      <c r="B1115" s="3"/>
      <c r="C1115" s="3"/>
    </row>
    <row r="1116" spans="2:3" x14ac:dyDescent="0.25">
      <c r="B1116" s="3"/>
      <c r="C1116" s="3"/>
    </row>
    <row r="1117" spans="2:3" x14ac:dyDescent="0.25">
      <c r="B1117" s="3"/>
      <c r="C1117" s="3"/>
    </row>
    <row r="1118" spans="2:3" x14ac:dyDescent="0.25">
      <c r="B1118" s="3"/>
      <c r="C1118" s="3"/>
    </row>
    <row r="1119" spans="2:3" x14ac:dyDescent="0.25">
      <c r="B1119" s="3"/>
      <c r="C1119" s="3"/>
    </row>
    <row r="1120" spans="2:3" x14ac:dyDescent="0.25">
      <c r="B1120" s="3"/>
      <c r="C1120" s="3"/>
    </row>
    <row r="1121" spans="2:3" x14ac:dyDescent="0.25">
      <c r="B1121" s="3"/>
      <c r="C1121" s="3"/>
    </row>
    <row r="1122" spans="2:3" x14ac:dyDescent="0.25">
      <c r="B1122" s="3"/>
      <c r="C1122" s="3"/>
    </row>
    <row r="1123" spans="2:3" x14ac:dyDescent="0.25">
      <c r="B1123" s="3"/>
      <c r="C1123" s="3"/>
    </row>
    <row r="1124" spans="2:3" x14ac:dyDescent="0.25">
      <c r="B1124" s="3"/>
      <c r="C1124" s="3"/>
    </row>
    <row r="1125" spans="2:3" x14ac:dyDescent="0.25">
      <c r="B1125" s="3"/>
      <c r="C1125" s="3"/>
    </row>
    <row r="1126" spans="2:3" x14ac:dyDescent="0.25">
      <c r="B1126" s="3"/>
      <c r="C1126" s="3"/>
    </row>
    <row r="1127" spans="2:3" x14ac:dyDescent="0.25">
      <c r="B1127" s="3"/>
      <c r="C1127" s="3"/>
    </row>
    <row r="1128" spans="2:3" x14ac:dyDescent="0.25">
      <c r="B1128" s="3"/>
      <c r="C1128" s="3"/>
    </row>
    <row r="1129" spans="2:3" x14ac:dyDescent="0.25">
      <c r="B1129" s="3"/>
      <c r="C1129" s="3"/>
    </row>
    <row r="1130" spans="2:3" x14ac:dyDescent="0.25">
      <c r="B1130" s="3"/>
      <c r="C1130" s="3"/>
    </row>
    <row r="1131" spans="2:3" x14ac:dyDescent="0.25">
      <c r="B1131" s="3"/>
      <c r="C1131" s="3"/>
    </row>
    <row r="1132" spans="2:3" x14ac:dyDescent="0.25">
      <c r="B1132" s="3"/>
      <c r="C1132" s="3"/>
    </row>
    <row r="1133" spans="2:3" x14ac:dyDescent="0.25">
      <c r="B1133" s="3"/>
      <c r="C1133" s="3"/>
    </row>
    <row r="1134" spans="2:3" x14ac:dyDescent="0.25">
      <c r="B1134" s="3"/>
      <c r="C1134" s="3"/>
    </row>
    <row r="1135" spans="2:3" x14ac:dyDescent="0.25">
      <c r="B1135" s="3"/>
      <c r="C1135" s="3"/>
    </row>
    <row r="1136" spans="2:3" x14ac:dyDescent="0.25">
      <c r="B1136" s="3"/>
      <c r="C1136" s="3"/>
    </row>
    <row r="1137" spans="2:3" x14ac:dyDescent="0.25">
      <c r="B1137" s="3"/>
      <c r="C1137" s="3"/>
    </row>
    <row r="1138" spans="2:3" x14ac:dyDescent="0.25">
      <c r="B1138" s="3"/>
      <c r="C1138" s="3"/>
    </row>
    <row r="1139" spans="2:3" x14ac:dyDescent="0.25">
      <c r="B1139" s="3"/>
      <c r="C1139" s="3"/>
    </row>
    <row r="1140" spans="2:3" x14ac:dyDescent="0.25">
      <c r="B1140" s="3"/>
      <c r="C1140" s="3"/>
    </row>
    <row r="1141" spans="2:3" x14ac:dyDescent="0.25">
      <c r="B1141" s="3"/>
      <c r="C1141" s="3"/>
    </row>
    <row r="1142" spans="2:3" x14ac:dyDescent="0.25">
      <c r="B1142" s="3"/>
      <c r="C1142" s="3"/>
    </row>
    <row r="1143" spans="2:3" x14ac:dyDescent="0.25">
      <c r="B1143" s="3"/>
      <c r="C1143" s="3"/>
    </row>
    <row r="1144" spans="2:3" x14ac:dyDescent="0.25">
      <c r="B1144" s="3"/>
      <c r="C1144" s="3"/>
    </row>
    <row r="1145" spans="2:3" x14ac:dyDescent="0.25">
      <c r="B1145" s="3"/>
      <c r="C1145" s="3"/>
    </row>
    <row r="1146" spans="2:3" x14ac:dyDescent="0.25">
      <c r="B1146" s="3"/>
      <c r="C1146" s="3"/>
    </row>
    <row r="1147" spans="2:3" x14ac:dyDescent="0.25">
      <c r="B1147" s="3"/>
      <c r="C1147" s="3"/>
    </row>
    <row r="1148" spans="2:3" x14ac:dyDescent="0.25">
      <c r="B1148" s="3"/>
      <c r="C1148" s="3"/>
    </row>
    <row r="1149" spans="2:3" x14ac:dyDescent="0.25">
      <c r="B1149" s="3"/>
      <c r="C1149" s="3"/>
    </row>
    <row r="1150" spans="2:3" x14ac:dyDescent="0.25">
      <c r="B1150" s="3"/>
      <c r="C1150" s="3"/>
    </row>
    <row r="1151" spans="2:3" x14ac:dyDescent="0.25">
      <c r="B1151" s="3"/>
      <c r="C1151" s="3"/>
    </row>
    <row r="1152" spans="2:3" x14ac:dyDescent="0.25">
      <c r="B1152" s="3"/>
      <c r="C1152" s="3"/>
    </row>
    <row r="1153" spans="2:3" x14ac:dyDescent="0.25">
      <c r="B1153" s="3"/>
      <c r="C1153" s="3"/>
    </row>
    <row r="1154" spans="2:3" x14ac:dyDescent="0.25">
      <c r="B1154" s="3"/>
      <c r="C1154" s="3"/>
    </row>
    <row r="1155" spans="2:3" x14ac:dyDescent="0.25">
      <c r="B1155" s="3"/>
      <c r="C1155" s="3"/>
    </row>
    <row r="1156" spans="2:3" x14ac:dyDescent="0.25">
      <c r="B1156" s="3"/>
      <c r="C1156" s="3"/>
    </row>
    <row r="1157" spans="2:3" x14ac:dyDescent="0.25">
      <c r="B1157" s="3"/>
      <c r="C1157" s="3"/>
    </row>
    <row r="1158" spans="2:3" x14ac:dyDescent="0.25">
      <c r="B1158" s="3"/>
      <c r="C1158" s="3"/>
    </row>
    <row r="1159" spans="2:3" x14ac:dyDescent="0.25">
      <c r="B1159" s="3"/>
      <c r="C1159" s="3"/>
    </row>
    <row r="1160" spans="2:3" x14ac:dyDescent="0.25">
      <c r="B1160" s="3"/>
      <c r="C1160" s="3"/>
    </row>
    <row r="1161" spans="2:3" x14ac:dyDescent="0.25">
      <c r="B1161" s="3"/>
      <c r="C1161" s="3"/>
    </row>
    <row r="1162" spans="2:3" x14ac:dyDescent="0.25">
      <c r="B1162" s="3"/>
      <c r="C1162" s="3"/>
    </row>
    <row r="1163" spans="2:3" x14ac:dyDescent="0.25">
      <c r="B1163" s="3"/>
      <c r="C1163" s="3"/>
    </row>
    <row r="1164" spans="2:3" x14ac:dyDescent="0.25">
      <c r="B1164" s="3"/>
      <c r="C1164" s="3"/>
    </row>
    <row r="1165" spans="2:3" x14ac:dyDescent="0.25">
      <c r="B1165" s="3"/>
      <c r="C1165" s="3"/>
    </row>
    <row r="1166" spans="2:3" x14ac:dyDescent="0.25">
      <c r="B1166" s="3"/>
      <c r="C1166" s="3"/>
    </row>
    <row r="1167" spans="2:3" x14ac:dyDescent="0.25">
      <c r="B1167" s="3"/>
      <c r="C1167" s="3"/>
    </row>
    <row r="1168" spans="2:3" x14ac:dyDescent="0.25">
      <c r="B1168" s="3"/>
      <c r="C1168" s="3"/>
    </row>
    <row r="1169" spans="2:3" x14ac:dyDescent="0.25">
      <c r="B1169" s="3"/>
      <c r="C1169" s="3"/>
    </row>
    <row r="1170" spans="2:3" x14ac:dyDescent="0.25">
      <c r="B1170" s="3"/>
      <c r="C1170" s="3"/>
    </row>
    <row r="1171" spans="2:3" x14ac:dyDescent="0.25">
      <c r="B1171" s="3"/>
      <c r="C1171" s="3"/>
    </row>
    <row r="1172" spans="2:3" x14ac:dyDescent="0.25">
      <c r="B1172" s="3"/>
      <c r="C1172" s="3"/>
    </row>
    <row r="1173" spans="2:3" x14ac:dyDescent="0.25">
      <c r="B1173" s="3"/>
      <c r="C1173" s="3"/>
    </row>
    <row r="1174" spans="2:3" x14ac:dyDescent="0.25">
      <c r="B1174" s="3"/>
      <c r="C1174" s="3"/>
    </row>
    <row r="1175" spans="2:3" x14ac:dyDescent="0.25">
      <c r="B1175" s="3"/>
      <c r="C1175" s="3"/>
    </row>
    <row r="1176" spans="2:3" x14ac:dyDescent="0.25">
      <c r="B1176" s="3"/>
      <c r="C1176" s="3"/>
    </row>
    <row r="1177" spans="2:3" x14ac:dyDescent="0.25">
      <c r="B1177" s="3"/>
      <c r="C1177" s="3"/>
    </row>
    <row r="1178" spans="2:3" x14ac:dyDescent="0.25">
      <c r="B1178" s="3"/>
      <c r="C1178" s="3"/>
    </row>
    <row r="1179" spans="2:3" x14ac:dyDescent="0.25">
      <c r="B1179" s="3"/>
      <c r="C1179" s="3"/>
    </row>
    <row r="1180" spans="2:3" x14ac:dyDescent="0.25">
      <c r="B1180" s="3"/>
      <c r="C1180" s="3"/>
    </row>
    <row r="1181" spans="2:3" x14ac:dyDescent="0.25">
      <c r="B1181" s="3"/>
      <c r="C1181" s="3"/>
    </row>
    <row r="1182" spans="2:3" x14ac:dyDescent="0.25">
      <c r="B1182" s="3"/>
      <c r="C1182" s="3"/>
    </row>
    <row r="1183" spans="2:3" x14ac:dyDescent="0.25">
      <c r="B1183" s="3"/>
      <c r="C1183" s="3"/>
    </row>
    <row r="1184" spans="2:3" x14ac:dyDescent="0.25">
      <c r="B1184" s="3"/>
      <c r="C1184" s="3"/>
    </row>
    <row r="1185" spans="2:3" x14ac:dyDescent="0.25">
      <c r="B1185" s="3"/>
      <c r="C1185" s="3"/>
    </row>
    <row r="1186" spans="2:3" x14ac:dyDescent="0.25">
      <c r="B1186" s="3"/>
      <c r="C1186" s="3"/>
    </row>
    <row r="1187" spans="2:3" x14ac:dyDescent="0.25">
      <c r="B1187" s="3"/>
      <c r="C1187" s="3"/>
    </row>
    <row r="1188" spans="2:3" x14ac:dyDescent="0.25">
      <c r="B1188" s="3"/>
      <c r="C1188" s="3"/>
    </row>
    <row r="1189" spans="2:3" x14ac:dyDescent="0.25">
      <c r="B1189" s="3"/>
      <c r="C1189" s="3"/>
    </row>
    <row r="1190" spans="2:3" x14ac:dyDescent="0.25">
      <c r="B1190" s="3"/>
      <c r="C1190" s="3"/>
    </row>
    <row r="1191" spans="2:3" x14ac:dyDescent="0.25">
      <c r="B1191" s="3"/>
      <c r="C1191" s="3"/>
    </row>
    <row r="1192" spans="2:3" x14ac:dyDescent="0.25">
      <c r="B1192" s="3"/>
      <c r="C1192" s="3"/>
    </row>
    <row r="1193" spans="2:3" x14ac:dyDescent="0.25">
      <c r="B1193" s="3"/>
      <c r="C1193" s="3"/>
    </row>
    <row r="1194" spans="2:3" x14ac:dyDescent="0.25">
      <c r="B1194" s="3"/>
      <c r="C1194" s="3"/>
    </row>
    <row r="1195" spans="2:3" x14ac:dyDescent="0.25">
      <c r="B1195" s="3"/>
      <c r="C1195" s="3"/>
    </row>
    <row r="1196" spans="2:3" x14ac:dyDescent="0.25">
      <c r="B1196" s="3"/>
      <c r="C1196" s="3"/>
    </row>
    <row r="1197" spans="2:3" x14ac:dyDescent="0.25">
      <c r="B1197" s="3"/>
      <c r="C1197" s="3"/>
    </row>
    <row r="1198" spans="2:3" x14ac:dyDescent="0.25">
      <c r="B1198" s="3"/>
      <c r="C1198" s="3"/>
    </row>
    <row r="1199" spans="2:3" x14ac:dyDescent="0.25">
      <c r="B1199" s="3"/>
      <c r="C1199" s="3"/>
    </row>
    <row r="1200" spans="2:3" x14ac:dyDescent="0.25">
      <c r="B1200" s="3"/>
      <c r="C1200" s="3"/>
    </row>
    <row r="1201" spans="2:3" x14ac:dyDescent="0.25">
      <c r="B1201" s="3"/>
      <c r="C1201" s="3"/>
    </row>
    <row r="1202" spans="2:3" x14ac:dyDescent="0.25">
      <c r="B1202" s="3"/>
      <c r="C1202" s="3"/>
    </row>
    <row r="1203" spans="2:3" x14ac:dyDescent="0.25">
      <c r="B1203" s="3"/>
      <c r="C1203" s="3"/>
    </row>
    <row r="1204" spans="2:3" x14ac:dyDescent="0.25">
      <c r="B1204" s="3"/>
      <c r="C1204" s="3"/>
    </row>
    <row r="1205" spans="2:3" x14ac:dyDescent="0.25">
      <c r="B1205" s="3"/>
      <c r="C1205" s="3"/>
    </row>
    <row r="1206" spans="2:3" x14ac:dyDescent="0.25">
      <c r="B1206" s="3"/>
      <c r="C1206" s="3"/>
    </row>
    <row r="1207" spans="2:3" x14ac:dyDescent="0.25">
      <c r="B1207" s="3"/>
      <c r="C1207" s="3"/>
    </row>
    <row r="1208" spans="2:3" x14ac:dyDescent="0.25">
      <c r="B1208" s="3"/>
      <c r="C1208" s="3"/>
    </row>
    <row r="1209" spans="2:3" x14ac:dyDescent="0.25">
      <c r="B1209" s="3"/>
      <c r="C1209" s="3"/>
    </row>
    <row r="1210" spans="2:3" x14ac:dyDescent="0.25">
      <c r="B1210" s="3"/>
      <c r="C1210" s="3"/>
    </row>
    <row r="1211" spans="2:3" x14ac:dyDescent="0.25">
      <c r="B1211" s="3"/>
      <c r="C1211" s="3"/>
    </row>
    <row r="1212" spans="2:3" x14ac:dyDescent="0.25">
      <c r="B1212" s="3"/>
      <c r="C1212" s="3"/>
    </row>
    <row r="1213" spans="2:3" x14ac:dyDescent="0.25">
      <c r="B1213" s="3"/>
      <c r="C1213" s="3"/>
    </row>
    <row r="1214" spans="2:3" x14ac:dyDescent="0.25">
      <c r="B1214" s="3"/>
      <c r="C1214" s="3"/>
    </row>
    <row r="1215" spans="2:3" x14ac:dyDescent="0.25">
      <c r="B1215" s="3"/>
      <c r="C1215" s="3"/>
    </row>
    <row r="1216" spans="2:3" x14ac:dyDescent="0.25">
      <c r="B1216" s="3"/>
      <c r="C1216" s="3"/>
    </row>
    <row r="1217" spans="2:3" x14ac:dyDescent="0.25">
      <c r="B1217" s="3"/>
      <c r="C1217" s="3"/>
    </row>
    <row r="1218" spans="2:3" x14ac:dyDescent="0.25">
      <c r="B1218" s="3"/>
      <c r="C1218" s="3"/>
    </row>
    <row r="1219" spans="2:3" x14ac:dyDescent="0.25">
      <c r="B1219" s="3"/>
      <c r="C1219" s="3"/>
    </row>
    <row r="1220" spans="2:3" x14ac:dyDescent="0.25">
      <c r="B1220" s="3"/>
      <c r="C1220" s="3"/>
    </row>
    <row r="1221" spans="2:3" x14ac:dyDescent="0.25">
      <c r="B1221" s="3"/>
      <c r="C1221" s="3"/>
    </row>
    <row r="1222" spans="2:3" x14ac:dyDescent="0.25">
      <c r="B1222" s="3"/>
      <c r="C1222" s="3"/>
    </row>
    <row r="1223" spans="2:3" x14ac:dyDescent="0.25">
      <c r="B1223" s="3"/>
      <c r="C1223" s="3"/>
    </row>
    <row r="1224" spans="2:3" x14ac:dyDescent="0.25">
      <c r="B1224" s="3"/>
      <c r="C1224" s="3"/>
    </row>
    <row r="1225" spans="2:3" x14ac:dyDescent="0.25">
      <c r="B1225" s="3"/>
      <c r="C1225" s="3"/>
    </row>
    <row r="1226" spans="2:3" x14ac:dyDescent="0.25">
      <c r="B1226" s="3"/>
      <c r="C1226" s="3"/>
    </row>
    <row r="1227" spans="2:3" x14ac:dyDescent="0.25">
      <c r="B1227" s="3"/>
      <c r="C1227" s="3"/>
    </row>
    <row r="1228" spans="2:3" x14ac:dyDescent="0.25">
      <c r="B1228" s="3"/>
      <c r="C1228" s="3"/>
    </row>
    <row r="1229" spans="2:3" x14ac:dyDescent="0.25">
      <c r="B1229" s="3"/>
      <c r="C1229" s="3"/>
    </row>
    <row r="1230" spans="2:3" x14ac:dyDescent="0.25">
      <c r="B1230" s="3"/>
      <c r="C1230" s="3"/>
    </row>
    <row r="1231" spans="2:3" x14ac:dyDescent="0.25">
      <c r="B1231" s="3"/>
      <c r="C1231" s="3"/>
    </row>
    <row r="1232" spans="2:3" x14ac:dyDescent="0.25">
      <c r="B1232" s="3"/>
      <c r="C1232" s="3"/>
    </row>
    <row r="1233" spans="2:3" x14ac:dyDescent="0.25">
      <c r="B1233" s="3"/>
      <c r="C1233" s="3"/>
    </row>
    <row r="1234" spans="2:3" x14ac:dyDescent="0.25">
      <c r="B1234" s="3"/>
      <c r="C1234" s="3"/>
    </row>
    <row r="1235" spans="2:3" x14ac:dyDescent="0.25">
      <c r="B1235" s="3"/>
      <c r="C1235" s="3"/>
    </row>
    <row r="1236" spans="2:3" x14ac:dyDescent="0.25">
      <c r="B1236" s="3"/>
      <c r="C1236" s="3"/>
    </row>
    <row r="1237" spans="2:3" x14ac:dyDescent="0.25">
      <c r="B1237" s="3"/>
      <c r="C1237" s="3"/>
    </row>
    <row r="1238" spans="2:3" x14ac:dyDescent="0.25">
      <c r="B1238" s="3"/>
      <c r="C1238" s="3"/>
    </row>
    <row r="1239" spans="2:3" x14ac:dyDescent="0.25">
      <c r="B1239" s="3"/>
      <c r="C1239" s="3"/>
    </row>
    <row r="1240" spans="2:3" x14ac:dyDescent="0.25">
      <c r="B1240" s="3"/>
      <c r="C1240" s="3"/>
    </row>
    <row r="1241" spans="2:3" x14ac:dyDescent="0.25">
      <c r="B1241" s="3"/>
      <c r="C1241" s="3"/>
    </row>
    <row r="1242" spans="2:3" x14ac:dyDescent="0.25">
      <c r="B1242" s="3"/>
      <c r="C1242" s="3"/>
    </row>
    <row r="1243" spans="2:3" x14ac:dyDescent="0.25">
      <c r="B1243" s="3"/>
      <c r="C1243" s="3"/>
    </row>
    <row r="1244" spans="2:3" x14ac:dyDescent="0.25">
      <c r="B1244" s="3"/>
      <c r="C1244" s="3"/>
    </row>
    <row r="1245" spans="2:3" x14ac:dyDescent="0.25">
      <c r="B1245" s="3"/>
      <c r="C1245" s="3"/>
    </row>
    <row r="1246" spans="2:3" x14ac:dyDescent="0.25">
      <c r="B1246" s="3"/>
      <c r="C1246" s="3"/>
    </row>
    <row r="1247" spans="2:3" x14ac:dyDescent="0.25">
      <c r="B1247" s="3"/>
      <c r="C1247" s="3"/>
    </row>
    <row r="1248" spans="2:3" x14ac:dyDescent="0.25">
      <c r="B1248" s="3"/>
      <c r="C1248" s="3"/>
    </row>
    <row r="1249" spans="2:3" x14ac:dyDescent="0.25">
      <c r="B1249" s="3"/>
      <c r="C1249" s="3"/>
    </row>
    <row r="1250" spans="2:3" x14ac:dyDescent="0.25">
      <c r="B1250" s="3"/>
      <c r="C1250" s="3"/>
    </row>
    <row r="1251" spans="2:3" x14ac:dyDescent="0.25">
      <c r="B1251" s="3"/>
      <c r="C1251" s="3"/>
    </row>
    <row r="1252" spans="2:3" x14ac:dyDescent="0.25">
      <c r="B1252" s="3"/>
      <c r="C1252" s="3"/>
    </row>
    <row r="1253" spans="2:3" x14ac:dyDescent="0.25">
      <c r="B1253" s="3"/>
      <c r="C1253" s="3"/>
    </row>
    <row r="1254" spans="2:3" x14ac:dyDescent="0.25">
      <c r="B1254" s="3"/>
      <c r="C1254" s="3"/>
    </row>
    <row r="1255" spans="2:3" x14ac:dyDescent="0.25">
      <c r="B1255" s="3"/>
      <c r="C1255" s="3"/>
    </row>
    <row r="1256" spans="2:3" x14ac:dyDescent="0.25">
      <c r="B1256" s="3"/>
      <c r="C1256" s="3"/>
    </row>
    <row r="1257" spans="2:3" x14ac:dyDescent="0.25">
      <c r="B1257" s="3"/>
      <c r="C1257" s="3"/>
    </row>
    <row r="1258" spans="2:3" x14ac:dyDescent="0.25">
      <c r="B1258" s="3"/>
      <c r="C1258" s="3"/>
    </row>
    <row r="1259" spans="2:3" x14ac:dyDescent="0.25">
      <c r="B1259" s="3"/>
      <c r="C1259" s="3"/>
    </row>
    <row r="1260" spans="2:3" x14ac:dyDescent="0.25">
      <c r="B1260" s="3"/>
      <c r="C1260" s="3"/>
    </row>
    <row r="1261" spans="2:3" x14ac:dyDescent="0.25">
      <c r="B1261" s="3"/>
      <c r="C1261" s="3"/>
    </row>
    <row r="1262" spans="2:3" x14ac:dyDescent="0.25">
      <c r="B1262" s="3"/>
      <c r="C1262" s="3"/>
    </row>
    <row r="1263" spans="2:3" x14ac:dyDescent="0.25">
      <c r="B1263" s="3"/>
      <c r="C1263" s="3"/>
    </row>
    <row r="1264" spans="2:3" x14ac:dyDescent="0.25">
      <c r="B1264" s="3"/>
      <c r="C1264" s="3"/>
    </row>
    <row r="1265" spans="2:3" x14ac:dyDescent="0.25">
      <c r="B1265" s="3"/>
      <c r="C1265" s="3"/>
    </row>
    <row r="1266" spans="2:3" x14ac:dyDescent="0.25">
      <c r="B1266" s="3"/>
      <c r="C1266" s="3"/>
    </row>
    <row r="1267" spans="2:3" x14ac:dyDescent="0.25">
      <c r="B1267" s="3"/>
      <c r="C1267" s="3"/>
    </row>
    <row r="1268" spans="2:3" x14ac:dyDescent="0.25">
      <c r="B1268" s="3"/>
      <c r="C1268" s="3"/>
    </row>
    <row r="1269" spans="2:3" x14ac:dyDescent="0.25">
      <c r="B1269" s="3"/>
      <c r="C1269" s="3"/>
    </row>
    <row r="1270" spans="2:3" x14ac:dyDescent="0.25">
      <c r="B1270" s="3"/>
      <c r="C1270" s="3"/>
    </row>
    <row r="1271" spans="2:3" x14ac:dyDescent="0.25">
      <c r="B1271" s="3"/>
      <c r="C1271" s="3"/>
    </row>
    <row r="1272" spans="2:3" x14ac:dyDescent="0.25">
      <c r="B1272" s="3"/>
      <c r="C1272" s="3"/>
    </row>
    <row r="1273" spans="2:3" x14ac:dyDescent="0.25">
      <c r="B1273" s="3"/>
      <c r="C1273" s="3"/>
    </row>
    <row r="1274" spans="2:3" x14ac:dyDescent="0.25">
      <c r="B1274" s="3"/>
      <c r="C1274" s="3"/>
    </row>
    <row r="1275" spans="2:3" x14ac:dyDescent="0.25">
      <c r="B1275" s="3"/>
      <c r="C1275" s="3"/>
    </row>
    <row r="1276" spans="2:3" x14ac:dyDescent="0.25">
      <c r="B1276" s="3"/>
      <c r="C1276" s="3"/>
    </row>
    <row r="1277" spans="2:3" x14ac:dyDescent="0.25">
      <c r="B1277" s="3"/>
      <c r="C1277" s="3"/>
    </row>
    <row r="1278" spans="2:3" x14ac:dyDescent="0.25">
      <c r="B1278" s="3"/>
      <c r="C1278" s="3"/>
    </row>
    <row r="1279" spans="2:3" x14ac:dyDescent="0.25">
      <c r="B1279" s="3"/>
      <c r="C1279" s="3"/>
    </row>
    <row r="1280" spans="2:3" x14ac:dyDescent="0.25">
      <c r="B1280" s="3"/>
      <c r="C1280" s="3"/>
    </row>
    <row r="1281" spans="2:3" x14ac:dyDescent="0.25">
      <c r="B1281" s="3"/>
      <c r="C1281" s="3"/>
    </row>
    <row r="1282" spans="2:3" x14ac:dyDescent="0.25">
      <c r="B1282" s="3"/>
      <c r="C1282" s="3"/>
    </row>
    <row r="1283" spans="2:3" x14ac:dyDescent="0.25">
      <c r="B1283" s="3"/>
      <c r="C1283" s="3"/>
    </row>
    <row r="1284" spans="2:3" x14ac:dyDescent="0.25">
      <c r="B1284" s="3"/>
      <c r="C1284" s="3"/>
    </row>
    <row r="1285" spans="2:3" x14ac:dyDescent="0.25">
      <c r="B1285" s="3"/>
      <c r="C1285" s="3"/>
    </row>
    <row r="1286" spans="2:3" x14ac:dyDescent="0.25">
      <c r="B1286" s="3"/>
      <c r="C1286" s="3"/>
    </row>
    <row r="1287" spans="2:3" x14ac:dyDescent="0.25">
      <c r="B1287" s="3"/>
      <c r="C1287" s="3"/>
    </row>
    <row r="1288" spans="2:3" x14ac:dyDescent="0.25">
      <c r="B1288" s="3"/>
      <c r="C1288" s="3"/>
    </row>
    <row r="1289" spans="2:3" x14ac:dyDescent="0.25">
      <c r="B1289" s="3"/>
      <c r="C1289" s="3"/>
    </row>
    <row r="1290" spans="2:3" x14ac:dyDescent="0.25">
      <c r="B1290" s="3"/>
      <c r="C1290" s="3"/>
    </row>
    <row r="1291" spans="2:3" x14ac:dyDescent="0.25">
      <c r="B1291" s="3"/>
      <c r="C1291" s="3"/>
    </row>
    <row r="1292" spans="2:3" x14ac:dyDescent="0.25">
      <c r="B1292" s="3"/>
      <c r="C1292" s="3"/>
    </row>
    <row r="1293" spans="2:3" x14ac:dyDescent="0.25">
      <c r="B1293" s="3"/>
      <c r="C1293" s="3"/>
    </row>
    <row r="1294" spans="2:3" x14ac:dyDescent="0.25">
      <c r="B1294" s="3"/>
      <c r="C1294" s="3"/>
    </row>
    <row r="1295" spans="2:3" x14ac:dyDescent="0.25">
      <c r="B1295" s="3"/>
      <c r="C1295" s="3"/>
    </row>
    <row r="1296" spans="2:3" x14ac:dyDescent="0.25">
      <c r="B1296" s="3"/>
      <c r="C1296" s="3"/>
    </row>
    <row r="1297" spans="2:3" x14ac:dyDescent="0.25">
      <c r="B1297" s="3"/>
      <c r="C1297" s="3"/>
    </row>
    <row r="1298" spans="2:3" x14ac:dyDescent="0.25">
      <c r="B1298" s="3"/>
      <c r="C1298" s="3"/>
    </row>
    <row r="1299" spans="2:3" x14ac:dyDescent="0.25">
      <c r="B1299" s="3"/>
      <c r="C1299" s="3"/>
    </row>
    <row r="1300" spans="2:3" x14ac:dyDescent="0.25">
      <c r="B1300" s="3"/>
      <c r="C1300" s="3"/>
    </row>
    <row r="1301" spans="2:3" x14ac:dyDescent="0.25">
      <c r="B1301" s="3"/>
      <c r="C1301" s="3"/>
    </row>
    <row r="1302" spans="2:3" x14ac:dyDescent="0.25">
      <c r="B1302" s="3"/>
      <c r="C1302" s="3"/>
    </row>
    <row r="1303" spans="2:3" x14ac:dyDescent="0.25">
      <c r="B1303" s="3"/>
      <c r="C1303" s="3"/>
    </row>
    <row r="1304" spans="2:3" x14ac:dyDescent="0.25">
      <c r="B1304" s="3"/>
      <c r="C1304" s="3"/>
    </row>
    <row r="1305" spans="2:3" x14ac:dyDescent="0.25">
      <c r="B1305" s="3"/>
      <c r="C1305" s="3"/>
    </row>
    <row r="1306" spans="2:3" x14ac:dyDescent="0.25">
      <c r="B1306" s="3"/>
      <c r="C1306" s="3"/>
    </row>
    <row r="1307" spans="2:3" x14ac:dyDescent="0.25">
      <c r="B1307" s="3"/>
      <c r="C1307" s="3"/>
    </row>
    <row r="1308" spans="2:3" x14ac:dyDescent="0.25">
      <c r="B1308" s="3"/>
      <c r="C1308" s="3"/>
    </row>
    <row r="1309" spans="2:3" x14ac:dyDescent="0.25">
      <c r="B1309" s="3"/>
      <c r="C1309" s="3"/>
    </row>
    <row r="1310" spans="2:3" x14ac:dyDescent="0.25">
      <c r="B1310" s="3"/>
      <c r="C1310" s="3"/>
    </row>
    <row r="1311" spans="2:3" x14ac:dyDescent="0.25">
      <c r="B1311" s="3"/>
      <c r="C1311" s="3"/>
    </row>
    <row r="1312" spans="2:3" x14ac:dyDescent="0.25">
      <c r="B1312" s="3"/>
      <c r="C1312" s="3"/>
    </row>
    <row r="1313" spans="2:3" x14ac:dyDescent="0.25">
      <c r="B1313" s="3"/>
      <c r="C1313" s="3"/>
    </row>
    <row r="1314" spans="2:3" x14ac:dyDescent="0.25">
      <c r="B1314" s="3"/>
      <c r="C1314" s="3"/>
    </row>
    <row r="1315" spans="2:3" x14ac:dyDescent="0.25">
      <c r="B1315" s="3"/>
      <c r="C1315" s="3"/>
    </row>
    <row r="1316" spans="2:3" x14ac:dyDescent="0.25">
      <c r="B1316" s="3"/>
      <c r="C1316" s="3"/>
    </row>
    <row r="1317" spans="2:3" x14ac:dyDescent="0.25">
      <c r="B1317" s="3"/>
      <c r="C1317" s="3"/>
    </row>
    <row r="1318" spans="2:3" x14ac:dyDescent="0.25">
      <c r="B1318" s="3"/>
      <c r="C1318" s="3"/>
    </row>
    <row r="1319" spans="2:3" x14ac:dyDescent="0.25">
      <c r="B1319" s="3"/>
      <c r="C1319" s="3"/>
    </row>
    <row r="1320" spans="2:3" x14ac:dyDescent="0.25">
      <c r="B1320" s="3"/>
      <c r="C1320" s="3"/>
    </row>
    <row r="1321" spans="2:3" x14ac:dyDescent="0.25">
      <c r="B1321" s="3"/>
      <c r="C1321" s="3"/>
    </row>
    <row r="1322" spans="2:3" x14ac:dyDescent="0.25">
      <c r="B1322" s="3"/>
      <c r="C1322" s="3"/>
    </row>
    <row r="1323" spans="2:3" x14ac:dyDescent="0.25">
      <c r="B1323" s="3"/>
      <c r="C1323" s="3"/>
    </row>
    <row r="1324" spans="2:3" x14ac:dyDescent="0.25">
      <c r="B1324" s="3"/>
      <c r="C1324" s="3"/>
    </row>
    <row r="1325" spans="2:3" x14ac:dyDescent="0.25">
      <c r="B1325" s="3"/>
      <c r="C1325" s="3"/>
    </row>
    <row r="1326" spans="2:3" x14ac:dyDescent="0.25">
      <c r="B1326" s="3"/>
      <c r="C1326" s="3"/>
    </row>
    <row r="1327" spans="2:3" x14ac:dyDescent="0.25">
      <c r="B1327" s="3"/>
      <c r="C1327" s="3"/>
    </row>
    <row r="1328" spans="2:3" x14ac:dyDescent="0.25">
      <c r="B1328" s="3"/>
      <c r="C1328" s="3"/>
    </row>
    <row r="1329" spans="2:3" x14ac:dyDescent="0.25">
      <c r="B1329" s="3"/>
      <c r="C1329" s="3"/>
    </row>
    <row r="1330" spans="2:3" x14ac:dyDescent="0.25">
      <c r="B1330" s="3"/>
      <c r="C1330" s="3"/>
    </row>
    <row r="1331" spans="2:3" x14ac:dyDescent="0.25">
      <c r="B1331" s="3"/>
      <c r="C1331" s="3"/>
    </row>
    <row r="1332" spans="2:3" x14ac:dyDescent="0.25">
      <c r="B1332" s="3"/>
      <c r="C1332" s="3"/>
    </row>
    <row r="1333" spans="2:3" x14ac:dyDescent="0.25">
      <c r="B1333" s="3"/>
      <c r="C1333" s="3"/>
    </row>
    <row r="1334" spans="2:3" x14ac:dyDescent="0.25">
      <c r="B1334" s="3"/>
      <c r="C1334" s="3"/>
    </row>
    <row r="1335" spans="2:3" x14ac:dyDescent="0.25">
      <c r="B1335" s="3"/>
      <c r="C1335" s="3"/>
    </row>
    <row r="1336" spans="2:3" x14ac:dyDescent="0.25">
      <c r="B1336" s="3"/>
      <c r="C1336" s="3"/>
    </row>
    <row r="1337" spans="2:3" x14ac:dyDescent="0.25">
      <c r="B1337" s="3"/>
      <c r="C1337" s="3"/>
    </row>
    <row r="1338" spans="2:3" x14ac:dyDescent="0.25">
      <c r="B1338" s="3"/>
      <c r="C1338" s="3"/>
    </row>
    <row r="1339" spans="2:3" x14ac:dyDescent="0.25">
      <c r="B1339" s="3"/>
      <c r="C1339" s="3"/>
    </row>
    <row r="1340" spans="2:3" x14ac:dyDescent="0.25">
      <c r="B1340" s="3"/>
      <c r="C1340" s="3"/>
    </row>
    <row r="1341" spans="2:3" x14ac:dyDescent="0.25">
      <c r="B1341" s="3"/>
      <c r="C1341" s="3"/>
    </row>
    <row r="1342" spans="2:3" x14ac:dyDescent="0.25">
      <c r="B1342" s="3"/>
      <c r="C1342" s="3"/>
    </row>
    <row r="1343" spans="2:3" x14ac:dyDescent="0.25">
      <c r="B1343" s="3"/>
      <c r="C1343" s="3"/>
    </row>
    <row r="1344" spans="2:3" x14ac:dyDescent="0.25">
      <c r="B1344" s="3"/>
      <c r="C1344" s="3"/>
    </row>
    <row r="1345" spans="2:3" x14ac:dyDescent="0.25">
      <c r="B1345" s="3"/>
      <c r="C1345" s="3"/>
    </row>
    <row r="1346" spans="2:3" x14ac:dyDescent="0.25">
      <c r="B1346" s="3"/>
      <c r="C1346" s="3"/>
    </row>
    <row r="1347" spans="2:3" x14ac:dyDescent="0.25">
      <c r="B1347" s="3"/>
      <c r="C1347" s="3"/>
    </row>
    <row r="1348" spans="2:3" x14ac:dyDescent="0.25">
      <c r="B1348" s="3"/>
      <c r="C1348" s="3"/>
    </row>
    <row r="1349" spans="2:3" x14ac:dyDescent="0.25">
      <c r="B1349" s="3"/>
      <c r="C1349" s="3"/>
    </row>
    <row r="1350" spans="2:3" x14ac:dyDescent="0.25">
      <c r="B1350" s="3"/>
      <c r="C1350" s="3"/>
    </row>
    <row r="1351" spans="2:3" x14ac:dyDescent="0.25">
      <c r="B1351" s="3"/>
      <c r="C1351" s="3"/>
    </row>
    <row r="1352" spans="2:3" x14ac:dyDescent="0.25">
      <c r="B1352" s="3"/>
      <c r="C1352" s="3"/>
    </row>
    <row r="1353" spans="2:3" x14ac:dyDescent="0.25">
      <c r="B1353" s="3"/>
      <c r="C1353" s="3"/>
    </row>
    <row r="1354" spans="2:3" x14ac:dyDescent="0.25">
      <c r="B1354" s="3"/>
      <c r="C1354" s="3"/>
    </row>
    <row r="1355" spans="2:3" x14ac:dyDescent="0.25">
      <c r="B1355" s="3"/>
      <c r="C1355" s="3"/>
    </row>
    <row r="1356" spans="2:3" x14ac:dyDescent="0.25">
      <c r="B1356" s="3"/>
      <c r="C1356" s="3"/>
    </row>
    <row r="1357" spans="2:3" x14ac:dyDescent="0.25">
      <c r="B1357" s="3"/>
      <c r="C1357" s="3"/>
    </row>
    <row r="1358" spans="2:3" x14ac:dyDescent="0.25">
      <c r="B1358" s="3"/>
      <c r="C1358" s="3"/>
    </row>
    <row r="1359" spans="2:3" x14ac:dyDescent="0.25">
      <c r="B1359" s="3"/>
      <c r="C1359" s="3"/>
    </row>
    <row r="1360" spans="2:3" x14ac:dyDescent="0.25">
      <c r="B1360" s="3"/>
      <c r="C1360" s="3"/>
    </row>
    <row r="1361" spans="2:3" x14ac:dyDescent="0.25">
      <c r="B1361" s="3"/>
      <c r="C1361" s="3"/>
    </row>
    <row r="1362" spans="2:3" x14ac:dyDescent="0.25">
      <c r="B1362" s="3"/>
      <c r="C1362" s="3"/>
    </row>
    <row r="1363" spans="2:3" x14ac:dyDescent="0.25">
      <c r="B1363" s="3"/>
      <c r="C1363" s="3"/>
    </row>
    <row r="1364" spans="2:3" x14ac:dyDescent="0.25">
      <c r="B1364" s="3"/>
      <c r="C1364" s="3"/>
    </row>
    <row r="1365" spans="2:3" x14ac:dyDescent="0.25">
      <c r="B1365" s="3"/>
      <c r="C1365" s="3"/>
    </row>
    <row r="1366" spans="2:3" x14ac:dyDescent="0.25">
      <c r="B1366" s="3"/>
      <c r="C1366" s="3"/>
    </row>
    <row r="1367" spans="2:3" x14ac:dyDescent="0.25">
      <c r="B1367" s="3"/>
      <c r="C1367" s="3"/>
    </row>
    <row r="1368" spans="2:3" x14ac:dyDescent="0.25">
      <c r="B1368" s="3"/>
      <c r="C1368" s="3"/>
    </row>
    <row r="1369" spans="2:3" x14ac:dyDescent="0.25">
      <c r="B1369" s="3"/>
      <c r="C1369" s="3"/>
    </row>
    <row r="1370" spans="2:3" x14ac:dyDescent="0.25">
      <c r="B1370" s="3"/>
      <c r="C1370" s="3"/>
    </row>
    <row r="1371" spans="2:3" x14ac:dyDescent="0.25">
      <c r="B1371" s="3"/>
      <c r="C1371" s="3"/>
    </row>
    <row r="1372" spans="2:3" x14ac:dyDescent="0.25">
      <c r="B1372" s="3"/>
      <c r="C1372" s="3"/>
    </row>
    <row r="1373" spans="2:3" x14ac:dyDescent="0.25">
      <c r="B1373" s="3"/>
      <c r="C1373" s="3"/>
    </row>
    <row r="1374" spans="2:3" x14ac:dyDescent="0.25">
      <c r="B1374" s="3"/>
      <c r="C1374" s="3"/>
    </row>
    <row r="1375" spans="2:3" x14ac:dyDescent="0.25">
      <c r="B1375" s="3"/>
      <c r="C1375" s="3"/>
    </row>
    <row r="1376" spans="2:3" x14ac:dyDescent="0.25">
      <c r="B1376" s="3"/>
      <c r="C1376" s="3"/>
    </row>
    <row r="1377" spans="2:3" x14ac:dyDescent="0.25">
      <c r="B1377" s="3"/>
      <c r="C1377" s="3"/>
    </row>
    <row r="1378" spans="2:3" x14ac:dyDescent="0.25">
      <c r="B1378" s="3"/>
      <c r="C1378" s="3"/>
    </row>
    <row r="1379" spans="2:3" x14ac:dyDescent="0.25">
      <c r="B1379" s="3"/>
      <c r="C1379" s="3"/>
    </row>
    <row r="1380" spans="2:3" x14ac:dyDescent="0.25">
      <c r="B1380" s="3"/>
      <c r="C1380" s="3"/>
    </row>
    <row r="1381" spans="2:3" x14ac:dyDescent="0.25">
      <c r="B1381" s="3"/>
      <c r="C1381" s="3"/>
    </row>
    <row r="1382" spans="2:3" x14ac:dyDescent="0.25">
      <c r="B1382" s="3"/>
      <c r="C1382" s="3"/>
    </row>
    <row r="1383" spans="2:3" x14ac:dyDescent="0.25">
      <c r="B1383" s="3"/>
      <c r="C1383" s="3"/>
    </row>
    <row r="1384" spans="2:3" x14ac:dyDescent="0.25">
      <c r="B1384" s="3"/>
      <c r="C1384" s="3"/>
    </row>
    <row r="1385" spans="2:3" x14ac:dyDescent="0.25">
      <c r="B1385" s="3"/>
      <c r="C1385" s="3"/>
    </row>
    <row r="1386" spans="2:3" x14ac:dyDescent="0.25">
      <c r="B1386" s="3"/>
      <c r="C1386" s="3"/>
    </row>
    <row r="1387" spans="2:3" x14ac:dyDescent="0.25">
      <c r="B1387" s="3"/>
      <c r="C1387" s="3"/>
    </row>
    <row r="1388" spans="2:3" x14ac:dyDescent="0.25">
      <c r="B1388" s="3"/>
      <c r="C1388" s="3"/>
    </row>
    <row r="1389" spans="2:3" x14ac:dyDescent="0.25">
      <c r="B1389" s="3"/>
      <c r="C1389" s="3"/>
    </row>
    <row r="1390" spans="2:3" x14ac:dyDescent="0.25">
      <c r="B1390" s="3"/>
      <c r="C1390" s="3"/>
    </row>
    <row r="1391" spans="2:3" x14ac:dyDescent="0.25">
      <c r="B1391" s="3"/>
      <c r="C1391" s="3"/>
    </row>
    <row r="1392" spans="2:3" x14ac:dyDescent="0.25">
      <c r="B1392" s="3"/>
      <c r="C1392" s="3"/>
    </row>
    <row r="1393" spans="2:3" x14ac:dyDescent="0.25">
      <c r="B1393" s="3"/>
      <c r="C1393" s="3"/>
    </row>
    <row r="1394" spans="2:3" x14ac:dyDescent="0.25">
      <c r="B1394" s="3"/>
      <c r="C1394" s="3"/>
    </row>
    <row r="1395" spans="2:3" x14ac:dyDescent="0.25">
      <c r="B1395" s="3"/>
      <c r="C1395" s="3"/>
    </row>
    <row r="1396" spans="2:3" x14ac:dyDescent="0.25">
      <c r="B1396" s="3"/>
      <c r="C1396" s="3"/>
    </row>
  </sheetData>
  <conditionalFormatting sqref="W1:W1048576">
    <cfRule type="expression" dxfId="2" priority="1">
      <formula>B1&lt;&gt;W1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79B6-6456-47D2-926D-9E54773D112C}">
  <dimension ref="A1:AN1396"/>
  <sheetViews>
    <sheetView workbookViewId="0"/>
  </sheetViews>
  <sheetFormatPr defaultRowHeight="15" x14ac:dyDescent="0.25"/>
  <cols>
    <col min="2" max="2" width="26.85546875" bestFit="1" customWidth="1"/>
    <col min="3" max="3" width="14.5703125" bestFit="1" customWidth="1"/>
    <col min="7" max="7" width="11.140625" bestFit="1" customWidth="1"/>
    <col min="8" max="9" width="11.140625" customWidth="1"/>
    <col min="12" max="12" width="11" bestFit="1" customWidth="1"/>
    <col min="13" max="13" width="12.140625" bestFit="1" customWidth="1"/>
    <col min="15" max="15" width="15.42578125" bestFit="1" customWidth="1"/>
    <col min="22" max="22" width="9.140625" style="7"/>
    <col min="23" max="23" width="41" bestFit="1" customWidth="1"/>
    <col min="24" max="24" width="11.85546875" customWidth="1"/>
    <col min="26" max="26" width="15.7109375" bestFit="1" customWidth="1"/>
    <col min="28" max="28" width="32.85546875" bestFit="1" customWidth="1"/>
    <col min="32" max="33" width="7.5703125" customWidth="1"/>
    <col min="34" max="34" width="11" customWidth="1"/>
    <col min="39" max="40" width="26.85546875" bestFit="1" customWidth="1"/>
  </cols>
  <sheetData>
    <row r="1" spans="1:40" x14ac:dyDescent="0.25">
      <c r="B1" s="3"/>
      <c r="C1" s="14" t="str" cm="1">
        <f t="array" aca="1" ref="C1" ca="1">IF(COUNTA(_xlfn.UNIQUE(_xlfn.ANCHORARRAY(B4)&amp;_xlfn.ANCHORARRAY(C4)))&lt;COUNTA(_xlfn.ANCHORARRAY(C4)),"DUPLICATES","")</f>
        <v/>
      </c>
      <c r="W1" t="s">
        <v>169</v>
      </c>
      <c r="AM1" t="s">
        <v>216</v>
      </c>
      <c r="AN1" t="s">
        <v>217</v>
      </c>
    </row>
    <row r="2" spans="1:40" x14ac:dyDescent="0.25">
      <c r="B2" t="s">
        <v>108</v>
      </c>
      <c r="C2" t="s">
        <v>109</v>
      </c>
      <c r="D2" s="10"/>
      <c r="E2" t="s">
        <v>118</v>
      </c>
      <c r="F2" t="s">
        <v>119</v>
      </c>
      <c r="G2" t="s">
        <v>122</v>
      </c>
      <c r="H2" t="s">
        <v>120</v>
      </c>
      <c r="I2" t="s">
        <v>121</v>
      </c>
      <c r="K2" t="s">
        <v>121</v>
      </c>
      <c r="L2" t="s">
        <v>112</v>
      </c>
      <c r="M2" t="s">
        <v>113</v>
      </c>
      <c r="T2" t="s">
        <v>117</v>
      </c>
      <c r="AM2" t="str" cm="1">
        <f t="array" aca="1" ref="AM2" ca="1">_xlfn._xlws.SORT(_xlfn.UNIQUE(_xlfn.ANCHORARRAY(B4)))</f>
        <v>channel nth</v>
      </c>
      <c r="AN2" t="s">
        <v>224</v>
      </c>
    </row>
    <row r="3" spans="1:40" x14ac:dyDescent="0.25">
      <c r="A3" t="s">
        <v>91</v>
      </c>
      <c r="B3" t="s">
        <v>0</v>
      </c>
      <c r="C3" s="3" t="s">
        <v>151</v>
      </c>
      <c r="D3" t="s">
        <v>5</v>
      </c>
      <c r="E3" t="s">
        <v>1</v>
      </c>
      <c r="F3" t="s">
        <v>2</v>
      </c>
      <c r="G3" t="s">
        <v>3</v>
      </c>
      <c r="H3" t="s">
        <v>185</v>
      </c>
      <c r="I3" t="s">
        <v>186</v>
      </c>
      <c r="J3" t="s">
        <v>4</v>
      </c>
      <c r="K3" t="s">
        <v>84</v>
      </c>
      <c r="L3" t="s">
        <v>6</v>
      </c>
      <c r="M3" t="s">
        <v>7</v>
      </c>
      <c r="N3" t="s">
        <v>8</v>
      </c>
      <c r="O3" t="s">
        <v>78</v>
      </c>
      <c r="P3" t="s">
        <v>79</v>
      </c>
      <c r="Q3" t="s">
        <v>80</v>
      </c>
      <c r="R3" t="s">
        <v>81</v>
      </c>
      <c r="S3" t="s">
        <v>82</v>
      </c>
      <c r="T3" t="s">
        <v>36</v>
      </c>
      <c r="U3" t="s">
        <v>147</v>
      </c>
      <c r="V3" s="6" t="s">
        <v>97</v>
      </c>
      <c r="W3" s="4" t="s">
        <v>101</v>
      </c>
      <c r="X3" s="4" t="s">
        <v>167</v>
      </c>
      <c r="Z3" s="8">
        <f>COUNTA('12D-Culverts.rpt'!A:A)</f>
        <v>5</v>
      </c>
      <c r="AA3" t="s">
        <v>143</v>
      </c>
      <c r="AN3" t="s">
        <v>222</v>
      </c>
    </row>
    <row r="4" spans="1:40" x14ac:dyDescent="0.25">
      <c r="A4" cm="1">
        <f t="array" aca="1" ref="A4:A5" ca="1">INT((ROW(_xlfn.ANCHORARRAY(B4))-2)/2)</f>
        <v>1</v>
      </c>
      <c r="B4" s="3" t="str" cm="1">
        <f t="array" aca="1" ref="B4:B5" ca="1">_xlfn._xlws.FILTER(INDIRECT($AB$5),INDIRECT($AB$5)&lt;&gt;"")</f>
        <v>channel nth</v>
      </c>
      <c r="C4" s="3" t="str" cm="1">
        <f t="array" aca="1" ref="C4:C5" ca="1">_xlfn._xlws.FILTER(INDIRECT($AB$6),INDIRECT($AB$6)&lt;&gt;"")</f>
        <v xml:space="preserve"> inlet</v>
      </c>
      <c r="D4" cm="1">
        <f t="array" aca="1" ref="D4:D5" ca="1">NOT(MOD(ROW(_xlfn.ANCHORARRAY(B4)),2))*1</f>
        <v>1</v>
      </c>
      <c r="E4" cm="1">
        <f t="array" aca="1" ref="E4:E5" ca="1">INDEX('12D-Culverts.rpt'!$A$1:$ZZ$50000,MATCH(_xlfn.ANCHORARRAY($B4),INDIRECT($AC$5),0),INDEX($AA:$AA,MATCH(E$2,$Z:$Z,0)))</f>
        <v>147.5</v>
      </c>
      <c r="F4" cm="1">
        <f t="array" aca="1" ref="F4:F5" ca="1">INDEX('12D-Culverts.rpt'!$A$1:$ZZ$50000,MATCH(_xlfn.ANCHORARRAY($B4),INDIRECT($AC$5),0),INDEX($AA:$AA,MATCH(F$2,$Z:$Z,0)))</f>
        <v>147.4</v>
      </c>
      <c r="G4" cm="1">
        <f t="array" aca="1" ref="G4:G5" ca="1">IFERROR(INDEX('12D-Culverts.rpt'!$A$1:$ZZ$50000,MATCH(_xlfn.ANCHORARRAY($B4),INDIRECT($AC$5),0),INDEX($AA:$AA,MATCH(G$2,$Z:$Z,0))),1)</f>
        <v>2</v>
      </c>
      <c r="H4" cm="1">
        <f t="array" aca="1" ref="H4:H5" ca="1">INDEX('12D-Culverts.rpt'!$A$1:$ZZ$50000,MATCH(_xlfn.ANCHORARRAY($B4),INDIRECT($AC$5),0),INDEX($AA:$AA,MATCH(H$2,$Z:$Z,0)))</f>
        <v>0.6</v>
      </c>
      <c r="I4" cm="1">
        <f t="array" aca="1" ref="I4:I5" ca="1">IFERROR(INDEX('12D-Culverts.rpt'!$A$1:$ZZ$50000,MATCH(_xlfn.ANCHORARRAY($B4),INDIRECT($AC$5),0),INDEX($AA:$AA,MATCH(I$2,$Z:$Z,0))),)</f>
        <v>1.2</v>
      </c>
      <c r="J4" cm="1">
        <f t="array" aca="1" ref="J4:J5" ca="1">IF(_xlfn.ANCHORARRAY(I4),_xlfn.ANCHORARRAY(I4),_xlfn.ANCHORARRAY(H4))</f>
        <v>1.2</v>
      </c>
      <c r="K4" cm="1">
        <f t="array" aca="1" ref="K4:K5" ca="1">IF(_xlfn.ANCHORARRAY(I4),_xlfn.ANCHORARRAY(H4),0)</f>
        <v>0.6</v>
      </c>
      <c r="L4" cm="1">
        <f t="array" aca="1" ref="L4:L5" ca="1">SUMIFS(INDIRECT(AB12),INDIRECT(AB5),_xlfn.ANCHORARRAY(B4),INDIRECT(AB6),_xlfn.ANCHORARRAY(C4))</f>
        <v>688661.52606599999</v>
      </c>
      <c r="M4" cm="1">
        <f t="array" aca="1" ref="M4:M5" ca="1">SUMIFS(INDIRECT(AB13),INDIRECT(AB5),_xlfn.ANCHORARRAY(B4),INDIRECT(AB6),_xlfn.ANCHORARRAY(C4))</f>
        <v>7671744.2282520002</v>
      </c>
      <c r="N4" cm="1">
        <f t="array" aca="1" ref="N4:N5" ca="1">IF(_xlfn.ANCHORARRAY(D4),_xlfn.ANCHORARRAY(E4),_xlfn.ANCHORARRAY(F4))</f>
        <v>147.5</v>
      </c>
      <c r="O4" cm="1">
        <f t="array" aca="1" ref="O4:O5" ca="1">SQRT(_xlfn.ANCHORARRAY(Q4)^2+_xlfn.ANCHORARRAY(R4)^2)</f>
        <v>26.780950537552993</v>
      </c>
      <c r="P4" cm="1">
        <f t="array" aca="1" ref="P4:P5" ca="1">_xlfn.ANCHORARRAY(O4)</f>
        <v>26.780950537552993</v>
      </c>
      <c r="Q4" cm="1">
        <f t="array" aca="1" ref="Q4:Q5" ca="1">SUMIFS(L:L,$B:$B,_xlfn.ANCHORARRAY($B4),$D:$D,0)-SUMIFS(L:L,$B:$B,_xlfn.ANCHORARRAY($B4),$D:$D,1)</f>
        <v>-26.02382200001739</v>
      </c>
      <c r="R4" cm="1">
        <f t="array" aca="1" ref="R4:R5" ca="1">SUMIFS(M:M,$B:$B,_xlfn.ANCHORARRAY($B4),$D:$D,0)-SUMIFS(M:M,$B:$B,_xlfn.ANCHORARRAY($B4),$D:$D,1)</f>
        <v>-6.3229740001261234</v>
      </c>
      <c r="S4" cm="1">
        <f t="array" aca="1" ref="S4:S5" ca="1">_xlfn.ANCHORARRAY(F4)-_xlfn.ANCHORARRAY(E4)</f>
        <v>-9.9999999999994316E-2</v>
      </c>
      <c r="T4" t="str" cm="1">
        <f t="array" aca="1" ref="T4:T5" ca="1">INDEX(Table14[pipet],MATCH(_xlfn.ANCHORARRAY(X4),Table14[Type],0))</f>
        <v>R</v>
      </c>
      <c r="U4" s="9" cm="1">
        <f t="array" aca="1" ref="U4:U5" ca="1">INDEX(Table14[mannings],MATCH(_xlfn.ANCHORARRAY(X4),Table14[Type],0))</f>
        <v>1.2E-2</v>
      </c>
      <c r="V4" s="7" cm="1">
        <f t="array" aca="1" ref="V4:V5" ca="1">INDEX(ProcessAngle!J:J,MATCH(_xlfn.ANCHORARRAY('PointsTidy - 12D'!B4),ProcessAngle!L:L,0))</f>
        <v>90</v>
      </c>
      <c r="W4" t="str" cm="1">
        <f t="array" aca="1" ref="W4:W5" ca="1">IF(_xlfn.ANCHORARRAY(A4),VLOOKUP(_xlfn.ANCHORARRAY(B4),AM:AN,2,0))</f>
        <v>ChinN2</v>
      </c>
      <c r="X4" t="str" cm="1">
        <f t="array" aca="1" ref="X4:X5" ca="1">INDEX('12D-Culverts.rpt'!$A$1:$ZZ$50000,MATCH(_xlfn.ANCHORARRAY($B4),INDIRECT($AC$5),0),INDEX($AA:$AA,MATCH(T$2,$Z:$Z,0)))</f>
        <v>BC</v>
      </c>
      <c r="AB4" t="str">
        <f ca="1">AC4</f>
        <v>12D-Culverts.rpt</v>
      </c>
      <c r="AC4" t="str" cm="1">
        <f t="array" aca="1" ref="AC4" ca="1">MID(CELL("filename",'12D-Culverts.rpt'!A1),FIND("]",CELL("filename",'12D-Culverts.rpt'!A1))+1,255)</f>
        <v>12D-Culverts.rpt</v>
      </c>
      <c r="AN4" t="s">
        <v>225</v>
      </c>
    </row>
    <row r="5" spans="1:40" x14ac:dyDescent="0.25">
      <c r="A5">
        <f ca="1"/>
        <v>1</v>
      </c>
      <c r="B5" s="3" t="str">
        <f ca="1"/>
        <v>channel nth</v>
      </c>
      <c r="C5" t="str">
        <f ca="1"/>
        <v xml:space="preserve"> outlet</v>
      </c>
      <c r="D5">
        <f ca="1"/>
        <v>0</v>
      </c>
      <c r="E5">
        <f ca="1"/>
        <v>147.5</v>
      </c>
      <c r="F5">
        <f ca="1"/>
        <v>147.4</v>
      </c>
      <c r="G5">
        <f ca="1"/>
        <v>2</v>
      </c>
      <c r="H5">
        <f ca="1"/>
        <v>0.6</v>
      </c>
      <c r="I5">
        <f ca="1"/>
        <v>1.2</v>
      </c>
      <c r="J5">
        <f ca="1"/>
        <v>1.2</v>
      </c>
      <c r="K5">
        <f ca="1"/>
        <v>0.6</v>
      </c>
      <c r="L5">
        <f ca="1"/>
        <v>688635.50224399997</v>
      </c>
      <c r="M5">
        <f ca="1"/>
        <v>7671737.905278</v>
      </c>
      <c r="N5">
        <f ca="1"/>
        <v>147.4</v>
      </c>
      <c r="O5">
        <f ca="1"/>
        <v>26.780950537552993</v>
      </c>
      <c r="P5">
        <f ca="1"/>
        <v>26.780950537552993</v>
      </c>
      <c r="Q5">
        <f ca="1"/>
        <v>-26.02382200001739</v>
      </c>
      <c r="R5">
        <f ca="1"/>
        <v>-6.3229740001261234</v>
      </c>
      <c r="S5">
        <f ca="1"/>
        <v>-9.9999999999994316E-2</v>
      </c>
      <c r="T5" t="str">
        <f ca="1"/>
        <v>R</v>
      </c>
      <c r="U5" s="9">
        <f ca="1"/>
        <v>1.2E-2</v>
      </c>
      <c r="V5" s="7">
        <f ca="1"/>
        <v>90</v>
      </c>
      <c r="W5" t="str">
        <f ca="1"/>
        <v>ChinN2</v>
      </c>
      <c r="X5" t="str">
        <f ca="1"/>
        <v>BC</v>
      </c>
      <c r="Z5" t="s">
        <v>108</v>
      </c>
      <c r="AA5">
        <f>MATCH(Z5,'12D-Culverts.rpt'!$2:$2,0)</f>
        <v>3</v>
      </c>
      <c r="AB5" t="str">
        <f ca="1">_xlfn.CONCAT(ADDRESS(4,AA5,1,1,AB$4),":",ADDRESS($Z$3,AA5,1,1))</f>
        <v>'12D-Culverts.rpt'!$C$4:$C$5</v>
      </c>
      <c r="AC5" t="str">
        <f ca="1">_xlfn.CONCAT("'",AC$4,"'!",SUBSTITUTE(ADDRESS(1,AA5,4),"1",""),":",SUBSTITUTE(ADDRESS(1,AA5,4),"1",""))</f>
        <v>'12D-Culverts.rpt'!C:C</v>
      </c>
      <c r="AG5" t="s">
        <v>144</v>
      </c>
      <c r="AN5" t="s">
        <v>226</v>
      </c>
    </row>
    <row r="6" spans="1:40" x14ac:dyDescent="0.25">
      <c r="B6" s="3"/>
      <c r="U6" s="9"/>
      <c r="Z6" t="s">
        <v>109</v>
      </c>
      <c r="AA6">
        <f>MATCH(Z6,'12D-Culverts.rpt'!$2:$2,0)</f>
        <v>4</v>
      </c>
      <c r="AB6" t="str">
        <f ca="1">_xlfn.CONCAT(ADDRESS(4,AA6,1,1,AB$4),":",ADDRESS($Z$3,AA6,1,1))</f>
        <v>'12D-Culverts.rpt'!$D$4:$D$5</v>
      </c>
      <c r="AC6" t="str">
        <f t="shared" ref="AC6:AC14" ca="1" si="0">_xlfn.CONCAT("'",AC$4,"'!",SUBSTITUTE(ADDRESS(1,AA6,4),"1",""),":",SUBSTITUTE(ADDRESS(1,AA6,4),"1",""))</f>
        <v>'12D-Culverts.rpt'!D:D</v>
      </c>
      <c r="AN6" t="s">
        <v>218</v>
      </c>
    </row>
    <row r="7" spans="1:40" x14ac:dyDescent="0.25">
      <c r="U7" s="9"/>
      <c r="Z7" t="s">
        <v>118</v>
      </c>
      <c r="AA7">
        <f>MATCH(Z7,'12D-Culverts.rpt'!$2:$2,0)</f>
        <v>13</v>
      </c>
      <c r="AC7" t="str">
        <f t="shared" ca="1" si="0"/>
        <v>'12D-Culverts.rpt'!M:M</v>
      </c>
      <c r="AG7" t="s">
        <v>145</v>
      </c>
      <c r="AN7" t="s">
        <v>219</v>
      </c>
    </row>
    <row r="8" spans="1:40" x14ac:dyDescent="0.25">
      <c r="U8" s="9"/>
      <c r="Z8" t="s">
        <v>119</v>
      </c>
      <c r="AA8">
        <f>MATCH(Z8,'12D-Culverts.rpt'!$2:$2,0)</f>
        <v>14</v>
      </c>
      <c r="AC8" t="str">
        <f t="shared" ca="1" si="0"/>
        <v>'12D-Culverts.rpt'!N:N</v>
      </c>
      <c r="AG8" t="s">
        <v>146</v>
      </c>
      <c r="AN8" t="s">
        <v>220</v>
      </c>
    </row>
    <row r="9" spans="1:40" x14ac:dyDescent="0.25">
      <c r="U9" s="9"/>
      <c r="Z9" t="s">
        <v>122</v>
      </c>
      <c r="AA9">
        <f>MATCH(Z9,'12D-Culverts.rpt'!$2:$2,0)</f>
        <v>17</v>
      </c>
      <c r="AC9" t="str">
        <f t="shared" ca="1" si="0"/>
        <v>'12D-Culverts.rpt'!Q:Q</v>
      </c>
      <c r="AN9" t="s">
        <v>221</v>
      </c>
    </row>
    <row r="10" spans="1:40" x14ac:dyDescent="0.25">
      <c r="U10" s="9"/>
      <c r="Z10" t="s">
        <v>120</v>
      </c>
      <c r="AA10">
        <f>MATCH(Z10,'12D-Culverts.rpt'!$2:$2,0)</f>
        <v>15</v>
      </c>
      <c r="AC10" t="str">
        <f t="shared" ca="1" si="0"/>
        <v>'12D-Culverts.rpt'!O:O</v>
      </c>
      <c r="AG10" t="s">
        <v>36</v>
      </c>
      <c r="AH10" t="s">
        <v>148</v>
      </c>
      <c r="AI10" t="s">
        <v>165</v>
      </c>
      <c r="AN10" t="s">
        <v>223</v>
      </c>
    </row>
    <row r="11" spans="1:40" x14ac:dyDescent="0.25">
      <c r="U11" s="9"/>
      <c r="Z11" t="s">
        <v>121</v>
      </c>
      <c r="AA11">
        <f>MATCH(Z11,'12D-Culverts.rpt'!$2:$2,0)</f>
        <v>16</v>
      </c>
      <c r="AC11" t="str">
        <f t="shared" ca="1" si="0"/>
        <v>'12D-Culverts.rpt'!P:P</v>
      </c>
      <c r="AG11" t="s">
        <v>104</v>
      </c>
      <c r="AH11">
        <v>2.4E-2</v>
      </c>
      <c r="AI11" t="s">
        <v>74</v>
      </c>
    </row>
    <row r="12" spans="1:40" x14ac:dyDescent="0.25">
      <c r="U12" s="9"/>
      <c r="Z12" t="s">
        <v>112</v>
      </c>
      <c r="AA12">
        <f>MATCH(Z12,'12D-Culverts.rpt'!$2:$2,0)</f>
        <v>7</v>
      </c>
      <c r="AB12" t="str">
        <f ca="1">_xlfn.CONCAT(ADDRESS(4,AA12,1,1,AB$4),":",ADDRESS($Z$3,AA12,1,1))</f>
        <v>'12D-Culverts.rpt'!$G$4:$G$5</v>
      </c>
      <c r="AC12" t="str">
        <f t="shared" ca="1" si="0"/>
        <v>'12D-Culverts.rpt'!G:G</v>
      </c>
      <c r="AG12" t="s">
        <v>180</v>
      </c>
      <c r="AH12">
        <v>1.2E-2</v>
      </c>
      <c r="AI12" t="s">
        <v>166</v>
      </c>
    </row>
    <row r="13" spans="1:40" x14ac:dyDescent="0.25">
      <c r="U13" s="9"/>
      <c r="Z13" t="s">
        <v>113</v>
      </c>
      <c r="AA13">
        <f>MATCH(Z13,'12D-Culverts.rpt'!$2:$2,0)</f>
        <v>8</v>
      </c>
      <c r="AB13" t="str">
        <f ca="1">_xlfn.CONCAT(ADDRESS(4,AA13,1,1,AB$4),":",ADDRESS($Z$3,AA13,1,1))</f>
        <v>'12D-Culverts.rpt'!$H$4:$H$5</v>
      </c>
      <c r="AC13" t="str">
        <f t="shared" ca="1" si="0"/>
        <v>'12D-Culverts.rpt'!H:H</v>
      </c>
    </row>
    <row r="14" spans="1:40" x14ac:dyDescent="0.25">
      <c r="U14" s="9"/>
      <c r="Z14" t="s">
        <v>117</v>
      </c>
      <c r="AA14">
        <f>MATCH(Z14,'12D-Culverts.rpt'!$2:$2,0)</f>
        <v>12</v>
      </c>
      <c r="AC14" t="str">
        <f t="shared" ca="1" si="0"/>
        <v>'12D-Culverts.rpt'!L:L</v>
      </c>
    </row>
    <row r="15" spans="1:40" x14ac:dyDescent="0.25">
      <c r="U15" s="9"/>
    </row>
    <row r="16" spans="1:40" x14ac:dyDescent="0.25">
      <c r="C16" s="3"/>
      <c r="Z16" t="s">
        <v>214</v>
      </c>
      <c r="AA16">
        <f ca="1">COUNTA(_xlfn.UNIQUE(_xlfn.ANCHORARRAY(W4)))</f>
        <v>1</v>
      </c>
    </row>
    <row r="17" spans="3:31" x14ac:dyDescent="0.25">
      <c r="C17" s="3"/>
      <c r="Z17" t="s">
        <v>215</v>
      </c>
      <c r="AA17">
        <f ca="1">COUNTA(_xlfn.ANCHORARRAY(B4))/2</f>
        <v>1</v>
      </c>
    </row>
    <row r="18" spans="3:31" x14ac:dyDescent="0.25">
      <c r="C18" s="3"/>
    </row>
    <row r="19" spans="3:31" x14ac:dyDescent="0.25">
      <c r="C19" s="3"/>
      <c r="AE19" t="str">
        <f>ADDRESS(1,AA5,,,"BGER-12D.rpt")</f>
        <v>'BGER-12D.rpt'!$C$1</v>
      </c>
    </row>
    <row r="20" spans="3:31" x14ac:dyDescent="0.25">
      <c r="C20" s="3"/>
    </row>
    <row r="21" spans="3:31" x14ac:dyDescent="0.25">
      <c r="C21" s="3"/>
    </row>
    <row r="22" spans="3:31" x14ac:dyDescent="0.25">
      <c r="C22" s="3"/>
    </row>
    <row r="23" spans="3:31" x14ac:dyDescent="0.25">
      <c r="C23" s="3"/>
    </row>
    <row r="24" spans="3:31" x14ac:dyDescent="0.25">
      <c r="C24" s="3"/>
    </row>
    <row r="25" spans="3:31" x14ac:dyDescent="0.25">
      <c r="C25" s="3"/>
    </row>
    <row r="26" spans="3:31" x14ac:dyDescent="0.25">
      <c r="C26" s="3"/>
    </row>
    <row r="27" spans="3:31" x14ac:dyDescent="0.25">
      <c r="C27" s="3"/>
    </row>
    <row r="28" spans="3:31" x14ac:dyDescent="0.25">
      <c r="C28" s="3"/>
    </row>
    <row r="29" spans="3:31" x14ac:dyDescent="0.25">
      <c r="C29" s="3"/>
    </row>
    <row r="30" spans="3:31" x14ac:dyDescent="0.25">
      <c r="C30" s="3"/>
    </row>
    <row r="31" spans="3:31" x14ac:dyDescent="0.25">
      <c r="C31" s="3"/>
    </row>
    <row r="32" spans="3:31" x14ac:dyDescent="0.25">
      <c r="C32" s="3"/>
    </row>
    <row r="33" spans="3:3" x14ac:dyDescent="0.25">
      <c r="C33" s="3"/>
    </row>
    <row r="34" spans="3:3" x14ac:dyDescent="0.25">
      <c r="C34" s="3"/>
    </row>
    <row r="35" spans="3:3" x14ac:dyDescent="0.25">
      <c r="C35" s="3"/>
    </row>
    <row r="36" spans="3:3" x14ac:dyDescent="0.25">
      <c r="C36" s="3"/>
    </row>
    <row r="37" spans="3:3" x14ac:dyDescent="0.25">
      <c r="C37" s="3"/>
    </row>
    <row r="38" spans="3:3" x14ac:dyDescent="0.25">
      <c r="C38" s="3"/>
    </row>
    <row r="39" spans="3:3" x14ac:dyDescent="0.25">
      <c r="C39" s="3"/>
    </row>
    <row r="40" spans="3:3" x14ac:dyDescent="0.25">
      <c r="C40" s="3"/>
    </row>
    <row r="41" spans="3:3" x14ac:dyDescent="0.25">
      <c r="C41" s="3"/>
    </row>
    <row r="42" spans="3:3" x14ac:dyDescent="0.25">
      <c r="C42" s="3"/>
    </row>
    <row r="43" spans="3:3" x14ac:dyDescent="0.25">
      <c r="C43" s="3"/>
    </row>
    <row r="44" spans="3:3" x14ac:dyDescent="0.25">
      <c r="C44" s="3"/>
    </row>
    <row r="45" spans="3:3" x14ac:dyDescent="0.25">
      <c r="C45" s="3"/>
    </row>
    <row r="46" spans="3:3" x14ac:dyDescent="0.25">
      <c r="C46" s="3"/>
    </row>
    <row r="47" spans="3:3" x14ac:dyDescent="0.25">
      <c r="C47" s="3"/>
    </row>
    <row r="48" spans="3:3" x14ac:dyDescent="0.25">
      <c r="C48" s="3"/>
    </row>
    <row r="49" spans="3:3" x14ac:dyDescent="0.25">
      <c r="C49" s="3"/>
    </row>
    <row r="50" spans="3:3" x14ac:dyDescent="0.25">
      <c r="C50" s="3"/>
    </row>
    <row r="51" spans="3:3" x14ac:dyDescent="0.25">
      <c r="C51" s="3"/>
    </row>
    <row r="52" spans="3:3" x14ac:dyDescent="0.25">
      <c r="C52" s="3"/>
    </row>
    <row r="53" spans="3:3" x14ac:dyDescent="0.25">
      <c r="C53" s="3"/>
    </row>
    <row r="54" spans="3:3" x14ac:dyDescent="0.25">
      <c r="C54" s="3"/>
    </row>
    <row r="55" spans="3:3" x14ac:dyDescent="0.25">
      <c r="C55" s="3"/>
    </row>
    <row r="56" spans="3:3" x14ac:dyDescent="0.25">
      <c r="C56" s="3"/>
    </row>
    <row r="57" spans="3:3" x14ac:dyDescent="0.25">
      <c r="C57" s="3"/>
    </row>
    <row r="58" spans="3:3" x14ac:dyDescent="0.25">
      <c r="C58" s="3"/>
    </row>
    <row r="59" spans="3:3" x14ac:dyDescent="0.25">
      <c r="C59" s="3"/>
    </row>
    <row r="60" spans="3:3" x14ac:dyDescent="0.25">
      <c r="C60" s="3"/>
    </row>
    <row r="61" spans="3:3" x14ac:dyDescent="0.25">
      <c r="C61" s="3"/>
    </row>
    <row r="62" spans="3:3" x14ac:dyDescent="0.25">
      <c r="C62" s="3"/>
    </row>
    <row r="63" spans="3:3" x14ac:dyDescent="0.25">
      <c r="C63" s="3"/>
    </row>
    <row r="64" spans="3:3" x14ac:dyDescent="0.25">
      <c r="C64" s="3"/>
    </row>
    <row r="65" spans="2:3" x14ac:dyDescent="0.25">
      <c r="C65" s="3"/>
    </row>
    <row r="66" spans="2:3" x14ac:dyDescent="0.25">
      <c r="C66" s="3"/>
    </row>
    <row r="67" spans="2:3" x14ac:dyDescent="0.25">
      <c r="B67" s="3"/>
      <c r="C67" s="3"/>
    </row>
    <row r="68" spans="2:3" x14ac:dyDescent="0.25">
      <c r="B68" s="3"/>
      <c r="C68" s="3"/>
    </row>
    <row r="69" spans="2:3" x14ac:dyDescent="0.25">
      <c r="B69" s="3"/>
      <c r="C69" s="3"/>
    </row>
    <row r="70" spans="2:3" x14ac:dyDescent="0.25">
      <c r="B70" s="3"/>
      <c r="C70" s="3"/>
    </row>
    <row r="71" spans="2:3" x14ac:dyDescent="0.25">
      <c r="B71" s="3"/>
      <c r="C71" s="3"/>
    </row>
    <row r="72" spans="2:3" x14ac:dyDescent="0.25">
      <c r="B72" s="3"/>
      <c r="C72" s="3"/>
    </row>
    <row r="73" spans="2:3" x14ac:dyDescent="0.25">
      <c r="B73" s="3"/>
      <c r="C73" s="3"/>
    </row>
    <row r="74" spans="2:3" x14ac:dyDescent="0.25">
      <c r="B74" s="3"/>
      <c r="C74" s="3"/>
    </row>
    <row r="75" spans="2:3" x14ac:dyDescent="0.25">
      <c r="B75" s="3"/>
      <c r="C75" s="3"/>
    </row>
    <row r="76" spans="2:3" x14ac:dyDescent="0.25">
      <c r="B76" s="3"/>
      <c r="C76" s="3"/>
    </row>
    <row r="77" spans="2:3" x14ac:dyDescent="0.25">
      <c r="B77" s="3"/>
      <c r="C77" s="3"/>
    </row>
    <row r="78" spans="2:3" x14ac:dyDescent="0.25">
      <c r="B78" s="3"/>
      <c r="C78" s="3"/>
    </row>
    <row r="79" spans="2:3" x14ac:dyDescent="0.25">
      <c r="B79" s="3"/>
      <c r="C79" s="3"/>
    </row>
    <row r="80" spans="2:3" x14ac:dyDescent="0.25">
      <c r="B80" s="3"/>
      <c r="C80" s="3"/>
    </row>
    <row r="81" spans="2:3" x14ac:dyDescent="0.25">
      <c r="B81" s="3"/>
      <c r="C81" s="3"/>
    </row>
    <row r="82" spans="2:3" x14ac:dyDescent="0.25">
      <c r="B82" s="3"/>
      <c r="C82" s="3"/>
    </row>
    <row r="83" spans="2:3" x14ac:dyDescent="0.25">
      <c r="B83" s="3"/>
      <c r="C83" s="3"/>
    </row>
    <row r="84" spans="2:3" x14ac:dyDescent="0.25">
      <c r="B84" s="3"/>
      <c r="C84" s="3"/>
    </row>
    <row r="85" spans="2:3" x14ac:dyDescent="0.25">
      <c r="B85" s="3"/>
      <c r="C85" s="3"/>
    </row>
    <row r="86" spans="2:3" x14ac:dyDescent="0.25">
      <c r="B86" s="3"/>
      <c r="C86" s="3"/>
    </row>
    <row r="87" spans="2:3" x14ac:dyDescent="0.25">
      <c r="B87" s="3"/>
      <c r="C87" s="3"/>
    </row>
    <row r="88" spans="2:3" x14ac:dyDescent="0.25">
      <c r="B88" s="3"/>
      <c r="C88" s="3"/>
    </row>
    <row r="89" spans="2:3" x14ac:dyDescent="0.25">
      <c r="B89" s="3"/>
      <c r="C89" s="3"/>
    </row>
    <row r="90" spans="2:3" x14ac:dyDescent="0.25">
      <c r="B90" s="3"/>
      <c r="C90" s="3"/>
    </row>
    <row r="91" spans="2:3" x14ac:dyDescent="0.25">
      <c r="B91" s="3"/>
      <c r="C91" s="3"/>
    </row>
    <row r="92" spans="2:3" x14ac:dyDescent="0.25">
      <c r="B92" s="3"/>
      <c r="C92" s="3"/>
    </row>
    <row r="93" spans="2:3" x14ac:dyDescent="0.25">
      <c r="B93" s="3"/>
      <c r="C93" s="3"/>
    </row>
    <row r="94" spans="2:3" x14ac:dyDescent="0.25">
      <c r="B94" s="3"/>
      <c r="C94" s="3"/>
    </row>
    <row r="95" spans="2:3" x14ac:dyDescent="0.25">
      <c r="B95" s="3"/>
      <c r="C95" s="3"/>
    </row>
    <row r="96" spans="2:3" x14ac:dyDescent="0.25">
      <c r="B96" s="3"/>
      <c r="C96" s="3"/>
    </row>
    <row r="97" spans="2:3" x14ac:dyDescent="0.25">
      <c r="B97" s="3"/>
      <c r="C97" s="3"/>
    </row>
    <row r="98" spans="2:3" x14ac:dyDescent="0.25">
      <c r="B98" s="3"/>
      <c r="C98" s="3"/>
    </row>
    <row r="99" spans="2:3" x14ac:dyDescent="0.25">
      <c r="B99" s="3"/>
      <c r="C99" s="3"/>
    </row>
    <row r="100" spans="2:3" x14ac:dyDescent="0.25">
      <c r="B100" s="3"/>
      <c r="C100" s="3"/>
    </row>
    <row r="101" spans="2:3" x14ac:dyDescent="0.25">
      <c r="B101" s="3"/>
      <c r="C101" s="3"/>
    </row>
    <row r="102" spans="2:3" x14ac:dyDescent="0.25">
      <c r="B102" s="3"/>
      <c r="C102" s="3"/>
    </row>
    <row r="103" spans="2:3" x14ac:dyDescent="0.25">
      <c r="B103" s="3"/>
      <c r="C103" s="3"/>
    </row>
    <row r="104" spans="2:3" x14ac:dyDescent="0.25">
      <c r="B104" s="3"/>
      <c r="C104" s="3"/>
    </row>
    <row r="105" spans="2:3" x14ac:dyDescent="0.25">
      <c r="B105" s="3"/>
      <c r="C105" s="3"/>
    </row>
    <row r="106" spans="2:3" x14ac:dyDescent="0.25">
      <c r="B106" s="3"/>
      <c r="C106" s="3"/>
    </row>
    <row r="107" spans="2:3" x14ac:dyDescent="0.25">
      <c r="B107" s="3"/>
      <c r="C107" s="3"/>
    </row>
    <row r="108" spans="2:3" x14ac:dyDescent="0.25">
      <c r="B108" s="3"/>
      <c r="C108" s="3"/>
    </row>
    <row r="109" spans="2:3" x14ac:dyDescent="0.25">
      <c r="B109" s="3"/>
      <c r="C109" s="3"/>
    </row>
    <row r="110" spans="2:3" x14ac:dyDescent="0.25">
      <c r="B110" s="3"/>
      <c r="C110" s="3"/>
    </row>
    <row r="111" spans="2:3" x14ac:dyDescent="0.25">
      <c r="B111" s="3"/>
      <c r="C111" s="3"/>
    </row>
    <row r="112" spans="2:3" x14ac:dyDescent="0.25">
      <c r="B112" s="3"/>
      <c r="C112" s="3"/>
    </row>
    <row r="113" spans="2:3" x14ac:dyDescent="0.25">
      <c r="B113" s="3"/>
      <c r="C113" s="3"/>
    </row>
    <row r="114" spans="2:3" x14ac:dyDescent="0.25">
      <c r="B114" s="3"/>
      <c r="C114" s="3"/>
    </row>
    <row r="115" spans="2:3" x14ac:dyDescent="0.25">
      <c r="B115" s="3"/>
      <c r="C115" s="3"/>
    </row>
    <row r="116" spans="2:3" x14ac:dyDescent="0.25">
      <c r="B116" s="3"/>
      <c r="C116" s="3"/>
    </row>
    <row r="117" spans="2:3" x14ac:dyDescent="0.25">
      <c r="B117" s="3"/>
      <c r="C117" s="3"/>
    </row>
    <row r="118" spans="2:3" x14ac:dyDescent="0.25">
      <c r="B118" s="3"/>
      <c r="C118" s="3"/>
    </row>
    <row r="119" spans="2:3" x14ac:dyDescent="0.25">
      <c r="B119" s="3"/>
      <c r="C119" s="3"/>
    </row>
    <row r="120" spans="2:3" x14ac:dyDescent="0.25">
      <c r="B120" s="3"/>
      <c r="C120" s="3"/>
    </row>
    <row r="121" spans="2:3" x14ac:dyDescent="0.25">
      <c r="B121" s="3"/>
      <c r="C121" s="3"/>
    </row>
    <row r="122" spans="2:3" x14ac:dyDescent="0.25">
      <c r="B122" s="3"/>
      <c r="C122" s="3"/>
    </row>
    <row r="123" spans="2:3" x14ac:dyDescent="0.25">
      <c r="B123" s="3"/>
      <c r="C123" s="3"/>
    </row>
    <row r="124" spans="2:3" x14ac:dyDescent="0.25">
      <c r="B124" s="3"/>
      <c r="C124" s="3"/>
    </row>
    <row r="125" spans="2:3" x14ac:dyDescent="0.25">
      <c r="B125" s="3"/>
      <c r="C125" s="3"/>
    </row>
    <row r="126" spans="2:3" x14ac:dyDescent="0.25">
      <c r="B126" s="3"/>
      <c r="C126" s="3"/>
    </row>
    <row r="127" spans="2:3" x14ac:dyDescent="0.25">
      <c r="B127" s="3"/>
      <c r="C127" s="3"/>
    </row>
    <row r="128" spans="2:3" x14ac:dyDescent="0.25">
      <c r="B128" s="3"/>
      <c r="C128" s="3"/>
    </row>
    <row r="129" spans="2:3" x14ac:dyDescent="0.25">
      <c r="B129" s="3"/>
      <c r="C129" s="3"/>
    </row>
    <row r="130" spans="2:3" x14ac:dyDescent="0.25">
      <c r="B130" s="3"/>
      <c r="C130" s="3"/>
    </row>
    <row r="131" spans="2:3" x14ac:dyDescent="0.25">
      <c r="B131" s="3"/>
      <c r="C131" s="3"/>
    </row>
    <row r="132" spans="2:3" x14ac:dyDescent="0.25">
      <c r="B132" s="3"/>
      <c r="C132" s="3"/>
    </row>
    <row r="133" spans="2:3" x14ac:dyDescent="0.25">
      <c r="B133" s="3"/>
      <c r="C133" s="3"/>
    </row>
    <row r="134" spans="2:3" x14ac:dyDescent="0.25">
      <c r="B134" s="3"/>
      <c r="C134" s="3"/>
    </row>
    <row r="135" spans="2:3" x14ac:dyDescent="0.25">
      <c r="B135" s="3"/>
      <c r="C135" s="3"/>
    </row>
    <row r="136" spans="2:3" x14ac:dyDescent="0.25">
      <c r="B136" s="3"/>
      <c r="C136" s="3"/>
    </row>
    <row r="137" spans="2:3" x14ac:dyDescent="0.25">
      <c r="B137" s="3"/>
      <c r="C137" s="3"/>
    </row>
    <row r="138" spans="2:3" x14ac:dyDescent="0.25">
      <c r="B138" s="3"/>
      <c r="C138" s="3"/>
    </row>
    <row r="139" spans="2:3" x14ac:dyDescent="0.25">
      <c r="B139" s="3"/>
      <c r="C139" s="3"/>
    </row>
    <row r="140" spans="2:3" x14ac:dyDescent="0.25">
      <c r="B140" s="3"/>
      <c r="C140" s="3"/>
    </row>
    <row r="141" spans="2:3" x14ac:dyDescent="0.25">
      <c r="B141" s="3"/>
      <c r="C141" s="3"/>
    </row>
    <row r="142" spans="2:3" x14ac:dyDescent="0.25">
      <c r="B142" s="3"/>
      <c r="C142" s="3"/>
    </row>
    <row r="143" spans="2:3" x14ac:dyDescent="0.25">
      <c r="B143" s="3"/>
      <c r="C143" s="3"/>
    </row>
    <row r="144" spans="2:3" x14ac:dyDescent="0.25">
      <c r="B144" s="3"/>
      <c r="C144" s="3"/>
    </row>
    <row r="145" spans="2:3" x14ac:dyDescent="0.25">
      <c r="B145" s="3"/>
      <c r="C145" s="3"/>
    </row>
    <row r="146" spans="2:3" x14ac:dyDescent="0.25">
      <c r="B146" s="3"/>
      <c r="C146" s="3"/>
    </row>
    <row r="147" spans="2:3" x14ac:dyDescent="0.25">
      <c r="B147" s="3"/>
      <c r="C147" s="3"/>
    </row>
    <row r="148" spans="2:3" x14ac:dyDescent="0.25">
      <c r="B148" s="3"/>
      <c r="C148" s="3"/>
    </row>
    <row r="149" spans="2:3" x14ac:dyDescent="0.25">
      <c r="B149" s="3"/>
      <c r="C149" s="3"/>
    </row>
    <row r="150" spans="2:3" x14ac:dyDescent="0.25">
      <c r="B150" s="3"/>
      <c r="C150" s="3"/>
    </row>
    <row r="151" spans="2:3" x14ac:dyDescent="0.25">
      <c r="B151" s="3"/>
      <c r="C151" s="3"/>
    </row>
    <row r="152" spans="2:3" x14ac:dyDescent="0.25">
      <c r="B152" s="3"/>
      <c r="C152" s="3"/>
    </row>
    <row r="153" spans="2:3" x14ac:dyDescent="0.25">
      <c r="B153" s="3"/>
      <c r="C153" s="3"/>
    </row>
    <row r="154" spans="2:3" x14ac:dyDescent="0.25">
      <c r="B154" s="3"/>
      <c r="C154" s="3"/>
    </row>
    <row r="155" spans="2:3" x14ac:dyDescent="0.25">
      <c r="B155" s="3"/>
      <c r="C155" s="3"/>
    </row>
    <row r="156" spans="2:3" x14ac:dyDescent="0.25">
      <c r="B156" s="3"/>
      <c r="C156" s="3"/>
    </row>
    <row r="157" spans="2:3" x14ac:dyDescent="0.25">
      <c r="B157" s="3"/>
      <c r="C157" s="3"/>
    </row>
    <row r="158" spans="2:3" x14ac:dyDescent="0.25">
      <c r="B158" s="3"/>
      <c r="C158" s="3"/>
    </row>
    <row r="159" spans="2:3" x14ac:dyDescent="0.25">
      <c r="B159" s="3"/>
      <c r="C159" s="3"/>
    </row>
    <row r="160" spans="2:3" x14ac:dyDescent="0.25">
      <c r="B160" s="3"/>
      <c r="C160" s="3"/>
    </row>
    <row r="161" spans="2:3" x14ac:dyDescent="0.25">
      <c r="B161" s="3"/>
      <c r="C161" s="3"/>
    </row>
    <row r="162" spans="2:3" x14ac:dyDescent="0.25">
      <c r="B162" s="3"/>
      <c r="C162" s="3"/>
    </row>
    <row r="163" spans="2:3" x14ac:dyDescent="0.25">
      <c r="B163" s="3"/>
      <c r="C163" s="3"/>
    </row>
    <row r="164" spans="2:3" x14ac:dyDescent="0.25">
      <c r="B164" s="3"/>
      <c r="C164" s="3"/>
    </row>
    <row r="165" spans="2:3" x14ac:dyDescent="0.25">
      <c r="B165" s="3"/>
      <c r="C165" s="3"/>
    </row>
    <row r="166" spans="2:3" x14ac:dyDescent="0.25">
      <c r="B166" s="3"/>
      <c r="C166" s="3"/>
    </row>
    <row r="167" spans="2:3" x14ac:dyDescent="0.25">
      <c r="B167" s="3"/>
      <c r="C167" s="3"/>
    </row>
    <row r="168" spans="2:3" x14ac:dyDescent="0.25">
      <c r="B168" s="3"/>
      <c r="C168" s="3"/>
    </row>
    <row r="169" spans="2:3" x14ac:dyDescent="0.25">
      <c r="B169" s="3"/>
      <c r="C169" s="3"/>
    </row>
    <row r="170" spans="2:3" x14ac:dyDescent="0.25">
      <c r="B170" s="3"/>
      <c r="C170" s="3"/>
    </row>
    <row r="171" spans="2:3" x14ac:dyDescent="0.25">
      <c r="B171" s="3"/>
      <c r="C171" s="3"/>
    </row>
    <row r="172" spans="2:3" x14ac:dyDescent="0.25">
      <c r="B172" s="3"/>
      <c r="C172" s="3"/>
    </row>
    <row r="173" spans="2:3" x14ac:dyDescent="0.25">
      <c r="B173" s="3"/>
      <c r="C173" s="3"/>
    </row>
    <row r="174" spans="2:3" x14ac:dyDescent="0.25">
      <c r="B174" s="3"/>
      <c r="C174" s="3"/>
    </row>
    <row r="175" spans="2:3" x14ac:dyDescent="0.25">
      <c r="B175" s="3"/>
      <c r="C175" s="3"/>
    </row>
    <row r="176" spans="2:3" x14ac:dyDescent="0.25">
      <c r="B176" s="3"/>
      <c r="C176" s="3"/>
    </row>
    <row r="177" spans="2:3" x14ac:dyDescent="0.25">
      <c r="B177" s="3"/>
      <c r="C177" s="3"/>
    </row>
    <row r="178" spans="2:3" x14ac:dyDescent="0.25">
      <c r="B178" s="3"/>
      <c r="C178" s="3"/>
    </row>
    <row r="179" spans="2:3" x14ac:dyDescent="0.25">
      <c r="B179" s="3"/>
      <c r="C179" s="3"/>
    </row>
    <row r="180" spans="2:3" x14ac:dyDescent="0.25">
      <c r="B180" s="3"/>
      <c r="C180" s="3"/>
    </row>
    <row r="181" spans="2:3" x14ac:dyDescent="0.25">
      <c r="B181" s="3"/>
      <c r="C181" s="3"/>
    </row>
    <row r="182" spans="2:3" x14ac:dyDescent="0.25">
      <c r="B182" s="3"/>
      <c r="C182" s="3"/>
    </row>
    <row r="183" spans="2:3" x14ac:dyDescent="0.25">
      <c r="B183" s="3"/>
      <c r="C183" s="3"/>
    </row>
    <row r="184" spans="2:3" x14ac:dyDescent="0.25">
      <c r="B184" s="3"/>
      <c r="C184" s="3"/>
    </row>
    <row r="185" spans="2:3" x14ac:dyDescent="0.25">
      <c r="B185" s="3"/>
      <c r="C185" s="3"/>
    </row>
    <row r="186" spans="2:3" x14ac:dyDescent="0.25">
      <c r="B186" s="3"/>
      <c r="C186" s="3"/>
    </row>
    <row r="187" spans="2:3" x14ac:dyDescent="0.25">
      <c r="B187" s="3"/>
      <c r="C187" s="3"/>
    </row>
    <row r="188" spans="2:3" x14ac:dyDescent="0.25">
      <c r="B188" s="3"/>
      <c r="C188" s="3"/>
    </row>
    <row r="189" spans="2:3" x14ac:dyDescent="0.25">
      <c r="B189" s="3"/>
      <c r="C189" s="3"/>
    </row>
    <row r="190" spans="2:3" x14ac:dyDescent="0.25">
      <c r="B190" s="3"/>
      <c r="C190" s="3"/>
    </row>
    <row r="191" spans="2:3" x14ac:dyDescent="0.25">
      <c r="B191" s="3"/>
      <c r="C191" s="3"/>
    </row>
    <row r="192" spans="2:3" x14ac:dyDescent="0.25">
      <c r="B192" s="3"/>
      <c r="C192" s="3"/>
    </row>
    <row r="193" spans="2:3" x14ac:dyDescent="0.25">
      <c r="B193" s="3"/>
      <c r="C193" s="3"/>
    </row>
    <row r="194" spans="2:3" x14ac:dyDescent="0.25">
      <c r="B194" s="3"/>
      <c r="C194" s="3"/>
    </row>
    <row r="195" spans="2:3" x14ac:dyDescent="0.25">
      <c r="B195" s="3"/>
      <c r="C195" s="3"/>
    </row>
    <row r="196" spans="2:3" x14ac:dyDescent="0.25">
      <c r="B196" s="3"/>
      <c r="C196" s="3"/>
    </row>
    <row r="197" spans="2:3" x14ac:dyDescent="0.25">
      <c r="B197" s="3"/>
      <c r="C197" s="3"/>
    </row>
    <row r="198" spans="2:3" x14ac:dyDescent="0.25">
      <c r="B198" s="3"/>
      <c r="C198" s="3"/>
    </row>
    <row r="199" spans="2:3" x14ac:dyDescent="0.25">
      <c r="B199" s="3"/>
      <c r="C199" s="3"/>
    </row>
    <row r="200" spans="2:3" x14ac:dyDescent="0.25">
      <c r="B200" s="3"/>
      <c r="C200" s="3"/>
    </row>
    <row r="201" spans="2:3" x14ac:dyDescent="0.25">
      <c r="B201" s="3"/>
      <c r="C201" s="3"/>
    </row>
    <row r="202" spans="2:3" x14ac:dyDescent="0.25">
      <c r="B202" s="3"/>
      <c r="C202" s="3"/>
    </row>
    <row r="203" spans="2:3" x14ac:dyDescent="0.25">
      <c r="B203" s="3"/>
      <c r="C203" s="3"/>
    </row>
    <row r="204" spans="2:3" x14ac:dyDescent="0.25">
      <c r="B204" s="3"/>
      <c r="C204" s="3"/>
    </row>
    <row r="205" spans="2:3" x14ac:dyDescent="0.25">
      <c r="B205" s="3"/>
      <c r="C205" s="3"/>
    </row>
    <row r="206" spans="2:3" x14ac:dyDescent="0.25">
      <c r="B206" s="3"/>
      <c r="C206" s="3"/>
    </row>
    <row r="207" spans="2:3" x14ac:dyDescent="0.25">
      <c r="B207" s="3"/>
      <c r="C207" s="3"/>
    </row>
    <row r="208" spans="2:3" x14ac:dyDescent="0.25">
      <c r="B208" s="3"/>
      <c r="C208" s="3"/>
    </row>
    <row r="209" spans="2:3" x14ac:dyDescent="0.25">
      <c r="B209" s="3"/>
      <c r="C209" s="3"/>
    </row>
    <row r="210" spans="2:3" x14ac:dyDescent="0.25">
      <c r="B210" s="3"/>
      <c r="C210" s="3"/>
    </row>
    <row r="211" spans="2:3" x14ac:dyDescent="0.25">
      <c r="B211" s="3"/>
      <c r="C211" s="3"/>
    </row>
    <row r="212" spans="2:3" x14ac:dyDescent="0.25">
      <c r="B212" s="3"/>
      <c r="C212" s="3"/>
    </row>
    <row r="213" spans="2:3" x14ac:dyDescent="0.25">
      <c r="B213" s="3"/>
      <c r="C213" s="3"/>
    </row>
    <row r="214" spans="2:3" x14ac:dyDescent="0.25">
      <c r="B214" s="3"/>
      <c r="C214" s="3"/>
    </row>
    <row r="215" spans="2:3" x14ac:dyDescent="0.25">
      <c r="B215" s="3"/>
      <c r="C215" s="3"/>
    </row>
    <row r="216" spans="2:3" x14ac:dyDescent="0.25">
      <c r="B216" s="3"/>
      <c r="C216" s="3"/>
    </row>
    <row r="217" spans="2:3" x14ac:dyDescent="0.25">
      <c r="B217" s="3"/>
      <c r="C217" s="3"/>
    </row>
    <row r="218" spans="2:3" x14ac:dyDescent="0.25">
      <c r="B218" s="3"/>
      <c r="C218" s="3"/>
    </row>
    <row r="219" spans="2:3" x14ac:dyDescent="0.25">
      <c r="B219" s="3"/>
      <c r="C219" s="3"/>
    </row>
    <row r="220" spans="2:3" x14ac:dyDescent="0.25">
      <c r="B220" s="3"/>
      <c r="C220" s="3"/>
    </row>
    <row r="221" spans="2:3" x14ac:dyDescent="0.25">
      <c r="B221" s="3"/>
      <c r="C221" s="3"/>
    </row>
    <row r="222" spans="2:3" x14ac:dyDescent="0.25">
      <c r="B222" s="3"/>
      <c r="C222" s="3"/>
    </row>
    <row r="223" spans="2:3" x14ac:dyDescent="0.25">
      <c r="B223" s="3"/>
      <c r="C223" s="3"/>
    </row>
    <row r="224" spans="2:3" x14ac:dyDescent="0.25">
      <c r="B224" s="3"/>
      <c r="C224" s="3"/>
    </row>
    <row r="225" spans="2:3" x14ac:dyDescent="0.25">
      <c r="B225" s="3"/>
      <c r="C225" s="3"/>
    </row>
    <row r="226" spans="2:3" x14ac:dyDescent="0.25">
      <c r="B226" s="3"/>
      <c r="C226" s="3"/>
    </row>
    <row r="227" spans="2:3" x14ac:dyDescent="0.25">
      <c r="B227" s="3"/>
      <c r="C227" s="3"/>
    </row>
    <row r="228" spans="2:3" x14ac:dyDescent="0.25">
      <c r="B228" s="3"/>
      <c r="C228" s="3"/>
    </row>
    <row r="229" spans="2:3" x14ac:dyDescent="0.25">
      <c r="B229" s="3"/>
      <c r="C229" s="3"/>
    </row>
    <row r="230" spans="2:3" x14ac:dyDescent="0.25">
      <c r="B230" s="3"/>
      <c r="C230" s="3"/>
    </row>
    <row r="231" spans="2:3" x14ac:dyDescent="0.25">
      <c r="B231" s="3"/>
      <c r="C231" s="3"/>
    </row>
    <row r="232" spans="2:3" x14ac:dyDescent="0.25">
      <c r="B232" s="3"/>
      <c r="C232" s="3"/>
    </row>
    <row r="233" spans="2:3" x14ac:dyDescent="0.25">
      <c r="B233" s="3"/>
      <c r="C233" s="3"/>
    </row>
    <row r="234" spans="2:3" x14ac:dyDescent="0.25">
      <c r="B234" s="3"/>
      <c r="C234" s="3"/>
    </row>
    <row r="235" spans="2:3" x14ac:dyDescent="0.25">
      <c r="B235" s="3"/>
      <c r="C235" s="3"/>
    </row>
    <row r="236" spans="2:3" x14ac:dyDescent="0.25">
      <c r="B236" s="3"/>
      <c r="C236" s="3"/>
    </row>
    <row r="237" spans="2:3" x14ac:dyDescent="0.25">
      <c r="B237" s="3"/>
      <c r="C237" s="3"/>
    </row>
    <row r="238" spans="2:3" x14ac:dyDescent="0.25">
      <c r="B238" s="3"/>
      <c r="C238" s="3"/>
    </row>
    <row r="239" spans="2:3" x14ac:dyDescent="0.25">
      <c r="B239" s="3"/>
      <c r="C239" s="3"/>
    </row>
    <row r="240" spans="2:3" x14ac:dyDescent="0.25">
      <c r="B240" s="3"/>
      <c r="C240" s="3"/>
    </row>
    <row r="241" spans="2:3" x14ac:dyDescent="0.25">
      <c r="B241" s="3"/>
      <c r="C241" s="3"/>
    </row>
    <row r="242" spans="2:3" x14ac:dyDescent="0.25">
      <c r="B242" s="3"/>
      <c r="C242" s="3"/>
    </row>
    <row r="243" spans="2:3" x14ac:dyDescent="0.25">
      <c r="B243" s="3"/>
      <c r="C243" s="3"/>
    </row>
    <row r="244" spans="2:3" x14ac:dyDescent="0.25">
      <c r="B244" s="3"/>
      <c r="C244" s="3"/>
    </row>
    <row r="245" spans="2:3" x14ac:dyDescent="0.25">
      <c r="B245" s="3"/>
      <c r="C245" s="3"/>
    </row>
    <row r="246" spans="2:3" x14ac:dyDescent="0.25">
      <c r="B246" s="3"/>
      <c r="C246" s="3"/>
    </row>
    <row r="247" spans="2:3" x14ac:dyDescent="0.25">
      <c r="B247" s="3"/>
      <c r="C247" s="3"/>
    </row>
    <row r="248" spans="2:3" x14ac:dyDescent="0.25">
      <c r="B248" s="3"/>
      <c r="C248" s="3"/>
    </row>
    <row r="249" spans="2:3" x14ac:dyDescent="0.25">
      <c r="B249" s="3"/>
      <c r="C249" s="3"/>
    </row>
    <row r="250" spans="2:3" x14ac:dyDescent="0.25">
      <c r="B250" s="3"/>
      <c r="C250" s="3"/>
    </row>
    <row r="251" spans="2:3" x14ac:dyDescent="0.25">
      <c r="B251" s="3"/>
      <c r="C251" s="3"/>
    </row>
    <row r="252" spans="2:3" x14ac:dyDescent="0.25">
      <c r="B252" s="3"/>
      <c r="C252" s="3"/>
    </row>
    <row r="253" spans="2:3" x14ac:dyDescent="0.25">
      <c r="B253" s="3"/>
      <c r="C253" s="3"/>
    </row>
    <row r="254" spans="2:3" x14ac:dyDescent="0.25">
      <c r="B254" s="3"/>
      <c r="C254" s="3"/>
    </row>
    <row r="255" spans="2:3" x14ac:dyDescent="0.25">
      <c r="B255" s="3"/>
      <c r="C255" s="3"/>
    </row>
    <row r="256" spans="2:3" x14ac:dyDescent="0.25">
      <c r="B256" s="3"/>
      <c r="C256" s="3"/>
    </row>
    <row r="257" spans="2:3" x14ac:dyDescent="0.25">
      <c r="B257" s="3"/>
      <c r="C257" s="3"/>
    </row>
    <row r="258" spans="2:3" x14ac:dyDescent="0.25">
      <c r="B258" s="3"/>
      <c r="C258" s="3"/>
    </row>
    <row r="259" spans="2:3" x14ac:dyDescent="0.25">
      <c r="B259" s="3"/>
      <c r="C259" s="3"/>
    </row>
    <row r="260" spans="2:3" x14ac:dyDescent="0.25">
      <c r="B260" s="3"/>
      <c r="C260" s="3"/>
    </row>
    <row r="261" spans="2:3" x14ac:dyDescent="0.25">
      <c r="B261" s="3"/>
      <c r="C261" s="3"/>
    </row>
    <row r="262" spans="2:3" x14ac:dyDescent="0.25">
      <c r="B262" s="3"/>
      <c r="C262" s="3"/>
    </row>
    <row r="263" spans="2:3" x14ac:dyDescent="0.25">
      <c r="B263" s="3"/>
      <c r="C263" s="3"/>
    </row>
    <row r="264" spans="2:3" x14ac:dyDescent="0.25">
      <c r="B264" s="3"/>
      <c r="C264" s="3"/>
    </row>
    <row r="265" spans="2:3" x14ac:dyDescent="0.25">
      <c r="B265" s="3"/>
      <c r="C265" s="3"/>
    </row>
    <row r="266" spans="2:3" x14ac:dyDescent="0.25">
      <c r="B266" s="3"/>
      <c r="C266" s="3"/>
    </row>
    <row r="267" spans="2:3" x14ac:dyDescent="0.25">
      <c r="B267" s="3"/>
      <c r="C267" s="3"/>
    </row>
    <row r="268" spans="2:3" x14ac:dyDescent="0.25">
      <c r="B268" s="3"/>
      <c r="C268" s="3"/>
    </row>
    <row r="269" spans="2:3" x14ac:dyDescent="0.25">
      <c r="B269" s="3"/>
      <c r="C269" s="3"/>
    </row>
    <row r="270" spans="2:3" x14ac:dyDescent="0.25">
      <c r="B270" s="3"/>
      <c r="C270" s="3"/>
    </row>
    <row r="271" spans="2:3" x14ac:dyDescent="0.25">
      <c r="B271" s="3"/>
      <c r="C271" s="3"/>
    </row>
    <row r="272" spans="2:3" x14ac:dyDescent="0.25">
      <c r="B272" s="3"/>
      <c r="C272" s="3"/>
    </row>
    <row r="273" spans="2:3" x14ac:dyDescent="0.25">
      <c r="B273" s="3"/>
      <c r="C273" s="3"/>
    </row>
    <row r="274" spans="2:3" x14ac:dyDescent="0.25">
      <c r="B274" s="3"/>
      <c r="C274" s="3"/>
    </row>
    <row r="275" spans="2:3" x14ac:dyDescent="0.25">
      <c r="B275" s="3"/>
      <c r="C275" s="3"/>
    </row>
    <row r="276" spans="2:3" x14ac:dyDescent="0.25">
      <c r="B276" s="3"/>
      <c r="C276" s="3"/>
    </row>
    <row r="277" spans="2:3" x14ac:dyDescent="0.25">
      <c r="B277" s="3"/>
      <c r="C277" s="3"/>
    </row>
    <row r="278" spans="2:3" x14ac:dyDescent="0.25">
      <c r="B278" s="3"/>
      <c r="C278" s="3"/>
    </row>
    <row r="279" spans="2:3" x14ac:dyDescent="0.25">
      <c r="B279" s="3"/>
      <c r="C279" s="3"/>
    </row>
    <row r="280" spans="2:3" x14ac:dyDescent="0.25">
      <c r="B280" s="3"/>
      <c r="C280" s="3"/>
    </row>
    <row r="281" spans="2:3" x14ac:dyDescent="0.25">
      <c r="B281" s="3"/>
      <c r="C281" s="3"/>
    </row>
    <row r="282" spans="2:3" x14ac:dyDescent="0.25">
      <c r="B282" s="3"/>
      <c r="C282" s="3"/>
    </row>
    <row r="283" spans="2:3" x14ac:dyDescent="0.25">
      <c r="B283" s="3"/>
      <c r="C283" s="3"/>
    </row>
    <row r="284" spans="2:3" x14ac:dyDescent="0.25">
      <c r="B284" s="3"/>
      <c r="C284" s="3"/>
    </row>
    <row r="285" spans="2:3" x14ac:dyDescent="0.25">
      <c r="B285" s="3"/>
      <c r="C285" s="3"/>
    </row>
    <row r="286" spans="2:3" x14ac:dyDescent="0.25">
      <c r="B286" s="3"/>
      <c r="C286" s="3"/>
    </row>
    <row r="287" spans="2:3" x14ac:dyDescent="0.25">
      <c r="B287" s="3"/>
      <c r="C287" s="3"/>
    </row>
    <row r="288" spans="2:3" x14ac:dyDescent="0.25">
      <c r="B288" s="3"/>
      <c r="C288" s="3"/>
    </row>
    <row r="289" spans="2:3" x14ac:dyDescent="0.25">
      <c r="B289" s="3"/>
      <c r="C289" s="3"/>
    </row>
    <row r="290" spans="2:3" x14ac:dyDescent="0.25">
      <c r="B290" s="3"/>
      <c r="C290" s="3"/>
    </row>
    <row r="291" spans="2:3" x14ac:dyDescent="0.25">
      <c r="B291" s="3"/>
      <c r="C291" s="3"/>
    </row>
    <row r="292" spans="2:3" x14ac:dyDescent="0.25">
      <c r="B292" s="3"/>
      <c r="C292" s="3"/>
    </row>
    <row r="293" spans="2:3" x14ac:dyDescent="0.25">
      <c r="B293" s="3"/>
      <c r="C293" s="3"/>
    </row>
    <row r="294" spans="2:3" x14ac:dyDescent="0.25">
      <c r="B294" s="3"/>
      <c r="C294" s="3"/>
    </row>
    <row r="295" spans="2:3" x14ac:dyDescent="0.25">
      <c r="B295" s="3"/>
      <c r="C295" s="3"/>
    </row>
    <row r="296" spans="2:3" x14ac:dyDescent="0.25">
      <c r="B296" s="3"/>
      <c r="C296" s="3"/>
    </row>
    <row r="297" spans="2:3" x14ac:dyDescent="0.25">
      <c r="B297" s="3"/>
      <c r="C297" s="3"/>
    </row>
    <row r="298" spans="2:3" x14ac:dyDescent="0.25">
      <c r="B298" s="3"/>
      <c r="C298" s="3"/>
    </row>
    <row r="299" spans="2:3" x14ac:dyDescent="0.25">
      <c r="B299" s="3"/>
      <c r="C299" s="3"/>
    </row>
    <row r="300" spans="2:3" x14ac:dyDescent="0.25">
      <c r="B300" s="3"/>
      <c r="C300" s="3"/>
    </row>
    <row r="301" spans="2:3" x14ac:dyDescent="0.25">
      <c r="B301" s="3"/>
      <c r="C301" s="3"/>
    </row>
    <row r="302" spans="2:3" x14ac:dyDescent="0.25">
      <c r="B302" s="3"/>
      <c r="C302" s="3"/>
    </row>
    <row r="303" spans="2:3" x14ac:dyDescent="0.25">
      <c r="B303" s="3"/>
      <c r="C303" s="3"/>
    </row>
    <row r="304" spans="2:3" x14ac:dyDescent="0.25">
      <c r="B304" s="3"/>
      <c r="C304" s="3"/>
    </row>
    <row r="305" spans="2:3" x14ac:dyDescent="0.25">
      <c r="B305" s="3"/>
      <c r="C305" s="3"/>
    </row>
    <row r="306" spans="2:3" x14ac:dyDescent="0.25">
      <c r="B306" s="3"/>
      <c r="C306" s="3"/>
    </row>
    <row r="307" spans="2:3" x14ac:dyDescent="0.25">
      <c r="B307" s="3"/>
      <c r="C307" s="3"/>
    </row>
    <row r="308" spans="2:3" x14ac:dyDescent="0.25">
      <c r="B308" s="3"/>
      <c r="C308" s="3"/>
    </row>
    <row r="309" spans="2:3" x14ac:dyDescent="0.25">
      <c r="B309" s="3"/>
      <c r="C309" s="3"/>
    </row>
    <row r="310" spans="2:3" x14ac:dyDescent="0.25">
      <c r="B310" s="3"/>
      <c r="C310" s="3"/>
    </row>
    <row r="311" spans="2:3" x14ac:dyDescent="0.25">
      <c r="B311" s="3"/>
      <c r="C311" s="3"/>
    </row>
    <row r="312" spans="2:3" x14ac:dyDescent="0.25">
      <c r="B312" s="3"/>
      <c r="C312" s="3"/>
    </row>
    <row r="313" spans="2:3" x14ac:dyDescent="0.25">
      <c r="B313" s="3"/>
      <c r="C313" s="3"/>
    </row>
    <row r="314" spans="2:3" x14ac:dyDescent="0.25">
      <c r="B314" s="3"/>
      <c r="C314" s="3"/>
    </row>
    <row r="315" spans="2:3" x14ac:dyDescent="0.25">
      <c r="B315" s="3"/>
      <c r="C315" s="3"/>
    </row>
    <row r="316" spans="2:3" x14ac:dyDescent="0.25">
      <c r="B316" s="3"/>
      <c r="C316" s="3"/>
    </row>
    <row r="317" spans="2:3" x14ac:dyDescent="0.25">
      <c r="B317" s="3"/>
      <c r="C317" s="3"/>
    </row>
    <row r="318" spans="2:3" x14ac:dyDescent="0.25">
      <c r="B318" s="3"/>
      <c r="C318" s="3"/>
    </row>
    <row r="319" spans="2:3" x14ac:dyDescent="0.25">
      <c r="B319" s="3"/>
      <c r="C319" s="3"/>
    </row>
    <row r="320" spans="2:3" x14ac:dyDescent="0.25">
      <c r="B320" s="3"/>
      <c r="C320" s="3"/>
    </row>
    <row r="321" spans="2:3" x14ac:dyDescent="0.25">
      <c r="B321" s="3"/>
      <c r="C321" s="3"/>
    </row>
    <row r="322" spans="2:3" x14ac:dyDescent="0.25">
      <c r="B322" s="3"/>
      <c r="C322" s="3"/>
    </row>
    <row r="323" spans="2:3" x14ac:dyDescent="0.25">
      <c r="B323" s="3"/>
      <c r="C323" s="3"/>
    </row>
    <row r="324" spans="2:3" x14ac:dyDescent="0.25">
      <c r="B324" s="3"/>
      <c r="C324" s="3"/>
    </row>
    <row r="325" spans="2:3" x14ac:dyDescent="0.25">
      <c r="B325" s="3"/>
      <c r="C325" s="3"/>
    </row>
    <row r="326" spans="2:3" x14ac:dyDescent="0.25">
      <c r="B326" s="3"/>
      <c r="C326" s="3"/>
    </row>
    <row r="327" spans="2:3" x14ac:dyDescent="0.25">
      <c r="B327" s="3"/>
      <c r="C327" s="3"/>
    </row>
    <row r="328" spans="2:3" x14ac:dyDescent="0.25">
      <c r="B328" s="3"/>
      <c r="C328" s="3"/>
    </row>
    <row r="329" spans="2:3" x14ac:dyDescent="0.25">
      <c r="B329" s="3"/>
      <c r="C329" s="3"/>
    </row>
    <row r="330" spans="2:3" x14ac:dyDescent="0.25">
      <c r="B330" s="3"/>
      <c r="C330" s="3"/>
    </row>
    <row r="331" spans="2:3" x14ac:dyDescent="0.25">
      <c r="B331" s="3"/>
      <c r="C331" s="3"/>
    </row>
    <row r="332" spans="2:3" x14ac:dyDescent="0.25">
      <c r="B332" s="3"/>
      <c r="C332" s="3"/>
    </row>
    <row r="333" spans="2:3" x14ac:dyDescent="0.25">
      <c r="B333" s="3"/>
      <c r="C333" s="3"/>
    </row>
    <row r="334" spans="2:3" x14ac:dyDescent="0.25">
      <c r="B334" s="3"/>
      <c r="C334" s="3"/>
    </row>
    <row r="335" spans="2:3" x14ac:dyDescent="0.25">
      <c r="B335" s="3"/>
      <c r="C335" s="3"/>
    </row>
    <row r="336" spans="2:3" x14ac:dyDescent="0.25">
      <c r="B336" s="3"/>
      <c r="C336" s="3"/>
    </row>
    <row r="337" spans="2:3" x14ac:dyDescent="0.25">
      <c r="B337" s="3"/>
      <c r="C337" s="3"/>
    </row>
    <row r="338" spans="2:3" x14ac:dyDescent="0.25">
      <c r="B338" s="3"/>
      <c r="C338" s="3"/>
    </row>
    <row r="339" spans="2:3" x14ac:dyDescent="0.25">
      <c r="B339" s="3"/>
      <c r="C339" s="3"/>
    </row>
    <row r="340" spans="2:3" x14ac:dyDescent="0.25">
      <c r="B340" s="3"/>
      <c r="C340" s="3"/>
    </row>
    <row r="341" spans="2:3" x14ac:dyDescent="0.25">
      <c r="B341" s="3"/>
      <c r="C341" s="3"/>
    </row>
    <row r="342" spans="2:3" x14ac:dyDescent="0.25">
      <c r="B342" s="3"/>
      <c r="C342" s="3"/>
    </row>
    <row r="343" spans="2:3" x14ac:dyDescent="0.25">
      <c r="B343" s="3"/>
      <c r="C343" s="3"/>
    </row>
    <row r="344" spans="2:3" x14ac:dyDescent="0.25">
      <c r="B344" s="3"/>
      <c r="C344" s="3"/>
    </row>
    <row r="345" spans="2:3" x14ac:dyDescent="0.25">
      <c r="B345" s="3"/>
      <c r="C345" s="3"/>
    </row>
    <row r="346" spans="2:3" x14ac:dyDescent="0.25">
      <c r="B346" s="3"/>
      <c r="C346" s="3"/>
    </row>
    <row r="347" spans="2:3" x14ac:dyDescent="0.25">
      <c r="B347" s="3"/>
      <c r="C347" s="3"/>
    </row>
    <row r="348" spans="2:3" x14ac:dyDescent="0.25">
      <c r="B348" s="3"/>
      <c r="C348" s="3"/>
    </row>
    <row r="349" spans="2:3" x14ac:dyDescent="0.25">
      <c r="B349" s="3"/>
      <c r="C349" s="3"/>
    </row>
    <row r="350" spans="2:3" x14ac:dyDescent="0.25">
      <c r="B350" s="3"/>
      <c r="C350" s="3"/>
    </row>
    <row r="351" spans="2:3" x14ac:dyDescent="0.25">
      <c r="B351" s="3"/>
      <c r="C351" s="3"/>
    </row>
    <row r="352" spans="2:3" x14ac:dyDescent="0.25">
      <c r="B352" s="3"/>
      <c r="C352" s="3"/>
    </row>
    <row r="353" spans="2:3" x14ac:dyDescent="0.25">
      <c r="B353" s="3"/>
      <c r="C353" s="3"/>
    </row>
    <row r="354" spans="2:3" x14ac:dyDescent="0.25">
      <c r="B354" s="3"/>
      <c r="C354" s="3"/>
    </row>
    <row r="355" spans="2:3" x14ac:dyDescent="0.25">
      <c r="B355" s="3"/>
      <c r="C355" s="3"/>
    </row>
    <row r="356" spans="2:3" x14ac:dyDescent="0.25">
      <c r="B356" s="3"/>
      <c r="C356" s="3"/>
    </row>
    <row r="357" spans="2:3" x14ac:dyDescent="0.25">
      <c r="B357" s="3"/>
      <c r="C357" s="3"/>
    </row>
    <row r="358" spans="2:3" x14ac:dyDescent="0.25">
      <c r="B358" s="3"/>
      <c r="C358" s="3"/>
    </row>
    <row r="359" spans="2:3" x14ac:dyDescent="0.25">
      <c r="B359" s="3"/>
      <c r="C359" s="3"/>
    </row>
    <row r="360" spans="2:3" x14ac:dyDescent="0.25">
      <c r="B360" s="3"/>
      <c r="C360" s="3"/>
    </row>
    <row r="361" spans="2:3" x14ac:dyDescent="0.25">
      <c r="B361" s="3"/>
      <c r="C361" s="3"/>
    </row>
    <row r="362" spans="2:3" x14ac:dyDescent="0.25">
      <c r="B362" s="3"/>
      <c r="C362" s="3"/>
    </row>
    <row r="363" spans="2:3" x14ac:dyDescent="0.25">
      <c r="B363" s="3"/>
      <c r="C363" s="3"/>
    </row>
    <row r="364" spans="2:3" x14ac:dyDescent="0.25">
      <c r="B364" s="3"/>
      <c r="C364" s="3"/>
    </row>
    <row r="365" spans="2:3" x14ac:dyDescent="0.25">
      <c r="B365" s="3"/>
      <c r="C365" s="3"/>
    </row>
    <row r="366" spans="2:3" x14ac:dyDescent="0.25">
      <c r="B366" s="3"/>
      <c r="C366" s="3"/>
    </row>
    <row r="367" spans="2:3" x14ac:dyDescent="0.25">
      <c r="B367" s="3"/>
      <c r="C367" s="3"/>
    </row>
    <row r="368" spans="2:3" x14ac:dyDescent="0.25">
      <c r="B368" s="3"/>
      <c r="C368" s="3"/>
    </row>
    <row r="369" spans="2:3" x14ac:dyDescent="0.25">
      <c r="B369" s="3"/>
      <c r="C369" s="3"/>
    </row>
    <row r="370" spans="2:3" x14ac:dyDescent="0.25">
      <c r="B370" s="3"/>
      <c r="C370" s="3"/>
    </row>
    <row r="371" spans="2:3" x14ac:dyDescent="0.25">
      <c r="B371" s="3"/>
      <c r="C371" s="3"/>
    </row>
    <row r="372" spans="2:3" x14ac:dyDescent="0.25">
      <c r="B372" s="3"/>
      <c r="C372" s="3"/>
    </row>
    <row r="373" spans="2:3" x14ac:dyDescent="0.25">
      <c r="B373" s="3"/>
      <c r="C373" s="3"/>
    </row>
    <row r="374" spans="2:3" x14ac:dyDescent="0.25">
      <c r="B374" s="3"/>
      <c r="C374" s="3"/>
    </row>
    <row r="375" spans="2:3" x14ac:dyDescent="0.25">
      <c r="B375" s="3"/>
      <c r="C375" s="3"/>
    </row>
    <row r="376" spans="2:3" x14ac:dyDescent="0.25">
      <c r="B376" s="3"/>
      <c r="C376" s="3"/>
    </row>
    <row r="377" spans="2:3" x14ac:dyDescent="0.25">
      <c r="B377" s="3"/>
      <c r="C377" s="3"/>
    </row>
    <row r="378" spans="2:3" x14ac:dyDescent="0.25">
      <c r="B378" s="3"/>
      <c r="C378" s="3"/>
    </row>
    <row r="379" spans="2:3" x14ac:dyDescent="0.25">
      <c r="B379" s="3"/>
      <c r="C379" s="3"/>
    </row>
    <row r="380" spans="2:3" x14ac:dyDescent="0.25">
      <c r="B380" s="3"/>
      <c r="C380" s="3"/>
    </row>
    <row r="381" spans="2:3" x14ac:dyDescent="0.25">
      <c r="B381" s="3"/>
      <c r="C381" s="3"/>
    </row>
    <row r="382" spans="2:3" x14ac:dyDescent="0.25">
      <c r="B382" s="3"/>
      <c r="C382" s="3"/>
    </row>
    <row r="383" spans="2:3" x14ac:dyDescent="0.25">
      <c r="B383" s="3"/>
      <c r="C383" s="3"/>
    </row>
    <row r="384" spans="2:3" x14ac:dyDescent="0.25">
      <c r="B384" s="3"/>
      <c r="C384" s="3"/>
    </row>
    <row r="385" spans="2:3" x14ac:dyDescent="0.25">
      <c r="B385" s="3"/>
      <c r="C385" s="3"/>
    </row>
    <row r="386" spans="2:3" x14ac:dyDescent="0.25">
      <c r="B386" s="3"/>
      <c r="C386" s="3"/>
    </row>
    <row r="387" spans="2:3" x14ac:dyDescent="0.25">
      <c r="B387" s="3"/>
      <c r="C387" s="3"/>
    </row>
    <row r="388" spans="2:3" x14ac:dyDescent="0.25">
      <c r="B388" s="3"/>
      <c r="C388" s="3"/>
    </row>
    <row r="389" spans="2:3" x14ac:dyDescent="0.25">
      <c r="B389" s="3"/>
      <c r="C389" s="3"/>
    </row>
    <row r="390" spans="2:3" x14ac:dyDescent="0.25">
      <c r="B390" s="3"/>
      <c r="C390" s="3"/>
    </row>
    <row r="391" spans="2:3" x14ac:dyDescent="0.25">
      <c r="B391" s="3"/>
      <c r="C391" s="3"/>
    </row>
    <row r="392" spans="2:3" x14ac:dyDescent="0.25">
      <c r="B392" s="3"/>
      <c r="C392" s="3"/>
    </row>
    <row r="393" spans="2:3" x14ac:dyDescent="0.25">
      <c r="B393" s="3"/>
      <c r="C393" s="3"/>
    </row>
    <row r="394" spans="2:3" x14ac:dyDescent="0.25">
      <c r="B394" s="3"/>
      <c r="C394" s="3"/>
    </row>
    <row r="395" spans="2:3" x14ac:dyDescent="0.25">
      <c r="B395" s="3"/>
      <c r="C395" s="3"/>
    </row>
    <row r="396" spans="2:3" x14ac:dyDescent="0.25">
      <c r="B396" s="3"/>
      <c r="C396" s="3"/>
    </row>
    <row r="397" spans="2:3" x14ac:dyDescent="0.25">
      <c r="B397" s="3"/>
      <c r="C397" s="3"/>
    </row>
    <row r="398" spans="2:3" x14ac:dyDescent="0.25">
      <c r="B398" s="3"/>
      <c r="C398" s="3"/>
    </row>
    <row r="399" spans="2:3" x14ac:dyDescent="0.25">
      <c r="B399" s="3"/>
      <c r="C399" s="3"/>
    </row>
    <row r="400" spans="2:3" x14ac:dyDescent="0.25">
      <c r="B400" s="3"/>
      <c r="C400" s="3"/>
    </row>
    <row r="401" spans="2:3" x14ac:dyDescent="0.25">
      <c r="B401" s="3"/>
      <c r="C401" s="3"/>
    </row>
    <row r="402" spans="2:3" x14ac:dyDescent="0.25">
      <c r="B402" s="3"/>
      <c r="C402" s="3"/>
    </row>
    <row r="403" spans="2:3" x14ac:dyDescent="0.25">
      <c r="B403" s="3"/>
      <c r="C403" s="3"/>
    </row>
    <row r="404" spans="2:3" x14ac:dyDescent="0.25">
      <c r="B404" s="3"/>
      <c r="C404" s="3"/>
    </row>
    <row r="405" spans="2:3" x14ac:dyDescent="0.25">
      <c r="B405" s="3"/>
      <c r="C405" s="3"/>
    </row>
    <row r="406" spans="2:3" x14ac:dyDescent="0.25">
      <c r="B406" s="3"/>
      <c r="C406" s="3"/>
    </row>
    <row r="407" spans="2:3" x14ac:dyDescent="0.25">
      <c r="B407" s="3"/>
      <c r="C407" s="3"/>
    </row>
    <row r="408" spans="2:3" x14ac:dyDescent="0.25">
      <c r="B408" s="3"/>
      <c r="C408" s="3"/>
    </row>
    <row r="409" spans="2:3" x14ac:dyDescent="0.25">
      <c r="B409" s="3"/>
      <c r="C409" s="3"/>
    </row>
    <row r="410" spans="2:3" x14ac:dyDescent="0.25">
      <c r="B410" s="3"/>
      <c r="C410" s="3"/>
    </row>
    <row r="411" spans="2:3" x14ac:dyDescent="0.25">
      <c r="B411" s="3"/>
      <c r="C411" s="3"/>
    </row>
    <row r="412" spans="2:3" x14ac:dyDescent="0.25">
      <c r="B412" s="3"/>
      <c r="C412" s="3"/>
    </row>
    <row r="413" spans="2:3" x14ac:dyDescent="0.25">
      <c r="B413" s="3"/>
      <c r="C413" s="3"/>
    </row>
    <row r="414" spans="2:3" x14ac:dyDescent="0.25">
      <c r="B414" s="3"/>
      <c r="C414" s="3"/>
    </row>
    <row r="415" spans="2:3" x14ac:dyDescent="0.25">
      <c r="B415" s="3"/>
      <c r="C415" s="3"/>
    </row>
    <row r="416" spans="2:3" x14ac:dyDescent="0.25">
      <c r="B416" s="3"/>
      <c r="C416" s="3"/>
    </row>
    <row r="417" spans="2:3" x14ac:dyDescent="0.25">
      <c r="B417" s="3"/>
      <c r="C417" s="3"/>
    </row>
    <row r="418" spans="2:3" x14ac:dyDescent="0.25">
      <c r="B418" s="3"/>
      <c r="C418" s="3"/>
    </row>
    <row r="419" spans="2:3" x14ac:dyDescent="0.25">
      <c r="B419" s="3"/>
      <c r="C419" s="3"/>
    </row>
    <row r="420" spans="2:3" x14ac:dyDescent="0.25">
      <c r="B420" s="3"/>
      <c r="C420" s="3"/>
    </row>
    <row r="421" spans="2:3" x14ac:dyDescent="0.25">
      <c r="B421" s="3"/>
      <c r="C421" s="3"/>
    </row>
    <row r="422" spans="2:3" x14ac:dyDescent="0.25">
      <c r="B422" s="3"/>
      <c r="C422" s="3"/>
    </row>
    <row r="423" spans="2:3" x14ac:dyDescent="0.25">
      <c r="B423" s="3"/>
      <c r="C423" s="3"/>
    </row>
    <row r="424" spans="2:3" x14ac:dyDescent="0.25">
      <c r="B424" s="3"/>
      <c r="C424" s="3"/>
    </row>
    <row r="425" spans="2:3" x14ac:dyDescent="0.25">
      <c r="B425" s="3"/>
      <c r="C425" s="3"/>
    </row>
    <row r="426" spans="2:3" x14ac:dyDescent="0.25">
      <c r="B426" s="3"/>
      <c r="C426" s="3"/>
    </row>
    <row r="427" spans="2:3" x14ac:dyDescent="0.25">
      <c r="B427" s="3"/>
      <c r="C427" s="3"/>
    </row>
    <row r="428" spans="2:3" x14ac:dyDescent="0.25">
      <c r="B428" s="3"/>
      <c r="C428" s="3"/>
    </row>
    <row r="429" spans="2:3" x14ac:dyDescent="0.25">
      <c r="B429" s="3"/>
      <c r="C429" s="3"/>
    </row>
    <row r="430" spans="2:3" x14ac:dyDescent="0.25">
      <c r="B430" s="3"/>
      <c r="C430" s="3"/>
    </row>
    <row r="431" spans="2:3" x14ac:dyDescent="0.25">
      <c r="B431" s="3"/>
      <c r="C431" s="3"/>
    </row>
    <row r="432" spans="2:3" x14ac:dyDescent="0.25">
      <c r="B432" s="3"/>
      <c r="C432" s="3"/>
    </row>
    <row r="433" spans="2:3" x14ac:dyDescent="0.25">
      <c r="B433" s="3"/>
      <c r="C433" s="3"/>
    </row>
    <row r="434" spans="2:3" x14ac:dyDescent="0.25">
      <c r="B434" s="3"/>
      <c r="C434" s="3"/>
    </row>
    <row r="435" spans="2:3" x14ac:dyDescent="0.25">
      <c r="B435" s="3"/>
      <c r="C435" s="3"/>
    </row>
    <row r="436" spans="2:3" x14ac:dyDescent="0.25">
      <c r="B436" s="3"/>
      <c r="C436" s="3"/>
    </row>
    <row r="437" spans="2:3" x14ac:dyDescent="0.25">
      <c r="B437" s="3"/>
      <c r="C437" s="3"/>
    </row>
    <row r="438" spans="2:3" x14ac:dyDescent="0.25">
      <c r="B438" s="3"/>
      <c r="C438" s="3"/>
    </row>
    <row r="439" spans="2:3" x14ac:dyDescent="0.25">
      <c r="B439" s="3"/>
      <c r="C439" s="3"/>
    </row>
    <row r="440" spans="2:3" x14ac:dyDescent="0.25">
      <c r="B440" s="3"/>
      <c r="C440" s="3"/>
    </row>
    <row r="441" spans="2:3" x14ac:dyDescent="0.25">
      <c r="B441" s="3"/>
      <c r="C441" s="3"/>
    </row>
    <row r="442" spans="2:3" x14ac:dyDescent="0.25">
      <c r="B442" s="3"/>
      <c r="C442" s="3"/>
    </row>
    <row r="443" spans="2:3" x14ac:dyDescent="0.25">
      <c r="B443" s="3"/>
      <c r="C443" s="3"/>
    </row>
    <row r="444" spans="2:3" x14ac:dyDescent="0.25">
      <c r="B444" s="3"/>
      <c r="C444" s="3"/>
    </row>
    <row r="445" spans="2:3" x14ac:dyDescent="0.25">
      <c r="B445" s="3"/>
      <c r="C445" s="3"/>
    </row>
    <row r="446" spans="2:3" x14ac:dyDescent="0.25">
      <c r="B446" s="3"/>
      <c r="C446" s="3"/>
    </row>
    <row r="447" spans="2:3" x14ac:dyDescent="0.25">
      <c r="B447" s="3"/>
      <c r="C447" s="3"/>
    </row>
    <row r="448" spans="2:3" x14ac:dyDescent="0.25">
      <c r="B448" s="3"/>
      <c r="C448" s="3"/>
    </row>
    <row r="449" spans="2:3" x14ac:dyDescent="0.25">
      <c r="B449" s="3"/>
      <c r="C449" s="3"/>
    </row>
    <row r="450" spans="2:3" x14ac:dyDescent="0.25">
      <c r="B450" s="3"/>
      <c r="C450" s="3"/>
    </row>
    <row r="451" spans="2:3" x14ac:dyDescent="0.25">
      <c r="B451" s="3"/>
      <c r="C451" s="3"/>
    </row>
    <row r="452" spans="2:3" x14ac:dyDescent="0.25">
      <c r="B452" s="3"/>
      <c r="C452" s="3"/>
    </row>
    <row r="453" spans="2:3" x14ac:dyDescent="0.25">
      <c r="B453" s="3"/>
      <c r="C453" s="3"/>
    </row>
    <row r="454" spans="2:3" x14ac:dyDescent="0.25">
      <c r="B454" s="3"/>
      <c r="C454" s="3"/>
    </row>
    <row r="455" spans="2:3" x14ac:dyDescent="0.25">
      <c r="B455" s="3"/>
      <c r="C455" s="3"/>
    </row>
    <row r="456" spans="2:3" x14ac:dyDescent="0.25">
      <c r="B456" s="3"/>
      <c r="C456" s="3"/>
    </row>
    <row r="457" spans="2:3" x14ac:dyDescent="0.25">
      <c r="B457" s="3"/>
      <c r="C457" s="3"/>
    </row>
    <row r="458" spans="2:3" x14ac:dyDescent="0.25">
      <c r="B458" s="3"/>
      <c r="C458" s="3"/>
    </row>
    <row r="459" spans="2:3" x14ac:dyDescent="0.25">
      <c r="B459" s="3"/>
      <c r="C459" s="3"/>
    </row>
    <row r="460" spans="2:3" x14ac:dyDescent="0.25">
      <c r="B460" s="3"/>
      <c r="C460" s="3"/>
    </row>
    <row r="461" spans="2:3" x14ac:dyDescent="0.25">
      <c r="B461" s="3"/>
      <c r="C461" s="3"/>
    </row>
    <row r="462" spans="2:3" x14ac:dyDescent="0.25">
      <c r="B462" s="3"/>
      <c r="C462" s="3"/>
    </row>
    <row r="463" spans="2:3" x14ac:dyDescent="0.25">
      <c r="B463" s="3"/>
      <c r="C463" s="3"/>
    </row>
    <row r="464" spans="2:3" x14ac:dyDescent="0.25">
      <c r="B464" s="3"/>
      <c r="C464" s="3"/>
    </row>
    <row r="465" spans="2:3" x14ac:dyDescent="0.25">
      <c r="B465" s="3"/>
      <c r="C465" s="3"/>
    </row>
    <row r="466" spans="2:3" x14ac:dyDescent="0.25">
      <c r="B466" s="3"/>
      <c r="C466" s="3"/>
    </row>
    <row r="467" spans="2:3" x14ac:dyDescent="0.25">
      <c r="B467" s="3"/>
      <c r="C467" s="3"/>
    </row>
    <row r="468" spans="2:3" x14ac:dyDescent="0.25">
      <c r="B468" s="3"/>
      <c r="C468" s="3"/>
    </row>
    <row r="469" spans="2:3" x14ac:dyDescent="0.25">
      <c r="B469" s="3"/>
      <c r="C469" s="3"/>
    </row>
    <row r="470" spans="2:3" x14ac:dyDescent="0.25">
      <c r="B470" s="3"/>
      <c r="C470" s="3"/>
    </row>
    <row r="471" spans="2:3" x14ac:dyDescent="0.25">
      <c r="B471" s="3"/>
      <c r="C471" s="3"/>
    </row>
    <row r="472" spans="2:3" x14ac:dyDescent="0.25">
      <c r="B472" s="3"/>
      <c r="C472" s="3"/>
    </row>
    <row r="473" spans="2:3" x14ac:dyDescent="0.25">
      <c r="B473" s="3"/>
      <c r="C473" s="3"/>
    </row>
    <row r="474" spans="2:3" x14ac:dyDescent="0.25">
      <c r="B474" s="3"/>
      <c r="C474" s="3"/>
    </row>
    <row r="475" spans="2:3" x14ac:dyDescent="0.25">
      <c r="B475" s="3"/>
      <c r="C475" s="3"/>
    </row>
    <row r="476" spans="2:3" x14ac:dyDescent="0.25">
      <c r="B476" s="3"/>
      <c r="C476" s="3"/>
    </row>
    <row r="477" spans="2:3" x14ac:dyDescent="0.25">
      <c r="B477" s="3"/>
      <c r="C477" s="3"/>
    </row>
    <row r="478" spans="2:3" x14ac:dyDescent="0.25">
      <c r="B478" s="3"/>
      <c r="C478" s="3"/>
    </row>
    <row r="479" spans="2:3" x14ac:dyDescent="0.25">
      <c r="B479" s="3"/>
      <c r="C479" s="3"/>
    </row>
    <row r="480" spans="2:3" x14ac:dyDescent="0.25">
      <c r="B480" s="3"/>
      <c r="C480" s="3"/>
    </row>
    <row r="481" spans="2:3" x14ac:dyDescent="0.25">
      <c r="B481" s="3"/>
      <c r="C481" s="3"/>
    </row>
    <row r="482" spans="2:3" x14ac:dyDescent="0.25">
      <c r="B482" s="3"/>
      <c r="C482" s="3"/>
    </row>
    <row r="483" spans="2:3" x14ac:dyDescent="0.25">
      <c r="B483" s="3"/>
      <c r="C483" s="3"/>
    </row>
    <row r="484" spans="2:3" x14ac:dyDescent="0.25">
      <c r="B484" s="3"/>
      <c r="C484" s="3"/>
    </row>
    <row r="485" spans="2:3" x14ac:dyDescent="0.25">
      <c r="B485" s="3"/>
      <c r="C485" s="3"/>
    </row>
    <row r="486" spans="2:3" x14ac:dyDescent="0.25">
      <c r="B486" s="3"/>
      <c r="C486" s="3"/>
    </row>
    <row r="487" spans="2:3" x14ac:dyDescent="0.25">
      <c r="B487" s="3"/>
      <c r="C487" s="3"/>
    </row>
    <row r="488" spans="2:3" x14ac:dyDescent="0.25">
      <c r="B488" s="3"/>
      <c r="C488" s="3"/>
    </row>
    <row r="489" spans="2:3" x14ac:dyDescent="0.25">
      <c r="B489" s="3"/>
      <c r="C489" s="3"/>
    </row>
    <row r="490" spans="2:3" x14ac:dyDescent="0.25">
      <c r="B490" s="3"/>
      <c r="C490" s="3"/>
    </row>
    <row r="491" spans="2:3" x14ac:dyDescent="0.25">
      <c r="B491" s="3"/>
      <c r="C491" s="3"/>
    </row>
    <row r="492" spans="2:3" x14ac:dyDescent="0.25">
      <c r="B492" s="3"/>
      <c r="C492" s="3"/>
    </row>
    <row r="493" spans="2:3" x14ac:dyDescent="0.25">
      <c r="B493" s="3"/>
      <c r="C493" s="3"/>
    </row>
    <row r="494" spans="2:3" x14ac:dyDescent="0.25">
      <c r="B494" s="3"/>
      <c r="C494" s="3"/>
    </row>
    <row r="495" spans="2:3" x14ac:dyDescent="0.25">
      <c r="B495" s="3"/>
      <c r="C495" s="3"/>
    </row>
    <row r="496" spans="2:3" x14ac:dyDescent="0.25">
      <c r="B496" s="3"/>
      <c r="C496" s="3"/>
    </row>
    <row r="497" spans="2:3" x14ac:dyDescent="0.25">
      <c r="B497" s="3"/>
      <c r="C497" s="3"/>
    </row>
    <row r="498" spans="2:3" x14ac:dyDescent="0.25">
      <c r="B498" s="3"/>
      <c r="C498" s="3"/>
    </row>
    <row r="499" spans="2:3" x14ac:dyDescent="0.25">
      <c r="B499" s="3"/>
      <c r="C499" s="3"/>
    </row>
    <row r="500" spans="2:3" x14ac:dyDescent="0.25">
      <c r="B500" s="3"/>
      <c r="C500" s="3"/>
    </row>
    <row r="501" spans="2:3" x14ac:dyDescent="0.25">
      <c r="B501" s="3"/>
      <c r="C501" s="3"/>
    </row>
    <row r="502" spans="2:3" x14ac:dyDescent="0.25">
      <c r="B502" s="3"/>
      <c r="C502" s="3"/>
    </row>
    <row r="503" spans="2:3" x14ac:dyDescent="0.25">
      <c r="B503" s="3"/>
      <c r="C503" s="3"/>
    </row>
    <row r="504" spans="2:3" x14ac:dyDescent="0.25">
      <c r="B504" s="3"/>
      <c r="C504" s="3"/>
    </row>
    <row r="505" spans="2:3" x14ac:dyDescent="0.25">
      <c r="B505" s="3"/>
      <c r="C505" s="3"/>
    </row>
    <row r="506" spans="2:3" x14ac:dyDescent="0.25">
      <c r="B506" s="3"/>
      <c r="C506" s="3"/>
    </row>
    <row r="507" spans="2:3" x14ac:dyDescent="0.25">
      <c r="B507" s="3"/>
      <c r="C507" s="3"/>
    </row>
    <row r="508" spans="2:3" x14ac:dyDescent="0.25">
      <c r="B508" s="3"/>
      <c r="C508" s="3"/>
    </row>
    <row r="509" spans="2:3" x14ac:dyDescent="0.25">
      <c r="B509" s="3"/>
      <c r="C509" s="3"/>
    </row>
    <row r="510" spans="2:3" x14ac:dyDescent="0.25">
      <c r="B510" s="3"/>
      <c r="C510" s="3"/>
    </row>
    <row r="511" spans="2:3" x14ac:dyDescent="0.25">
      <c r="B511" s="3"/>
      <c r="C511" s="3"/>
    </row>
    <row r="512" spans="2:3" x14ac:dyDescent="0.25">
      <c r="B512" s="3"/>
      <c r="C512" s="3"/>
    </row>
    <row r="513" spans="2:3" x14ac:dyDescent="0.25">
      <c r="B513" s="3"/>
      <c r="C513" s="3"/>
    </row>
    <row r="514" spans="2:3" x14ac:dyDescent="0.25">
      <c r="B514" s="3"/>
      <c r="C514" s="3"/>
    </row>
    <row r="515" spans="2:3" x14ac:dyDescent="0.25">
      <c r="B515" s="3"/>
      <c r="C515" s="3"/>
    </row>
    <row r="516" spans="2:3" x14ac:dyDescent="0.25">
      <c r="B516" s="3"/>
      <c r="C516" s="3"/>
    </row>
    <row r="517" spans="2:3" x14ac:dyDescent="0.25">
      <c r="B517" s="3"/>
      <c r="C517" s="3"/>
    </row>
    <row r="518" spans="2:3" x14ac:dyDescent="0.25">
      <c r="B518" s="3"/>
      <c r="C518" s="3"/>
    </row>
    <row r="519" spans="2:3" x14ac:dyDescent="0.25">
      <c r="B519" s="3"/>
      <c r="C519" s="3"/>
    </row>
    <row r="520" spans="2:3" x14ac:dyDescent="0.25">
      <c r="B520" s="3"/>
      <c r="C520" s="3"/>
    </row>
    <row r="521" spans="2:3" x14ac:dyDescent="0.25">
      <c r="B521" s="3"/>
      <c r="C521" s="3"/>
    </row>
    <row r="522" spans="2:3" x14ac:dyDescent="0.25">
      <c r="B522" s="3"/>
      <c r="C522" s="3"/>
    </row>
    <row r="523" spans="2:3" x14ac:dyDescent="0.25">
      <c r="B523" s="3"/>
      <c r="C523" s="3"/>
    </row>
    <row r="524" spans="2:3" x14ac:dyDescent="0.25">
      <c r="B524" s="3"/>
      <c r="C524" s="3"/>
    </row>
    <row r="525" spans="2:3" x14ac:dyDescent="0.25">
      <c r="B525" s="3"/>
      <c r="C525" s="3"/>
    </row>
    <row r="526" spans="2:3" x14ac:dyDescent="0.25">
      <c r="B526" s="3"/>
      <c r="C526" s="3"/>
    </row>
    <row r="527" spans="2:3" x14ac:dyDescent="0.25">
      <c r="B527" s="3"/>
      <c r="C527" s="3"/>
    </row>
    <row r="528" spans="2:3" x14ac:dyDescent="0.25">
      <c r="B528" s="3"/>
      <c r="C528" s="3"/>
    </row>
    <row r="529" spans="2:3" x14ac:dyDescent="0.25">
      <c r="B529" s="3"/>
      <c r="C529" s="3"/>
    </row>
    <row r="530" spans="2:3" x14ac:dyDescent="0.25">
      <c r="B530" s="3"/>
      <c r="C530" s="3"/>
    </row>
    <row r="531" spans="2:3" x14ac:dyDescent="0.25">
      <c r="B531" s="3"/>
      <c r="C531" s="3"/>
    </row>
    <row r="532" spans="2:3" x14ac:dyDescent="0.25">
      <c r="B532" s="3"/>
      <c r="C532" s="3"/>
    </row>
    <row r="533" spans="2:3" x14ac:dyDescent="0.25">
      <c r="B533" s="3"/>
      <c r="C533" s="3"/>
    </row>
    <row r="534" spans="2:3" x14ac:dyDescent="0.25">
      <c r="B534" s="3"/>
      <c r="C534" s="3"/>
    </row>
    <row r="535" spans="2:3" x14ac:dyDescent="0.25">
      <c r="B535" s="3"/>
      <c r="C535" s="3"/>
    </row>
    <row r="536" spans="2:3" x14ac:dyDescent="0.25">
      <c r="B536" s="3"/>
      <c r="C536" s="3"/>
    </row>
    <row r="537" spans="2:3" x14ac:dyDescent="0.25">
      <c r="B537" s="3"/>
      <c r="C537" s="3"/>
    </row>
    <row r="538" spans="2:3" x14ac:dyDescent="0.25">
      <c r="B538" s="3"/>
      <c r="C538" s="3"/>
    </row>
    <row r="539" spans="2:3" x14ac:dyDescent="0.25">
      <c r="B539" s="3"/>
      <c r="C539" s="3"/>
    </row>
    <row r="540" spans="2:3" x14ac:dyDescent="0.25">
      <c r="B540" s="3"/>
      <c r="C540" s="3"/>
    </row>
    <row r="541" spans="2:3" x14ac:dyDescent="0.25">
      <c r="B541" s="3"/>
      <c r="C541" s="3"/>
    </row>
    <row r="542" spans="2:3" x14ac:dyDescent="0.25">
      <c r="B542" s="3"/>
      <c r="C542" s="3"/>
    </row>
    <row r="543" spans="2:3" x14ac:dyDescent="0.25">
      <c r="B543" s="3"/>
      <c r="C543" s="3"/>
    </row>
    <row r="544" spans="2:3" x14ac:dyDescent="0.25">
      <c r="B544" s="3"/>
      <c r="C544" s="3"/>
    </row>
    <row r="545" spans="2:3" x14ac:dyDescent="0.25">
      <c r="B545" s="3"/>
      <c r="C545" s="3"/>
    </row>
    <row r="546" spans="2:3" x14ac:dyDescent="0.25">
      <c r="B546" s="3"/>
      <c r="C546" s="3"/>
    </row>
    <row r="547" spans="2:3" x14ac:dyDescent="0.25">
      <c r="B547" s="3"/>
      <c r="C547" s="3"/>
    </row>
    <row r="548" spans="2:3" x14ac:dyDescent="0.25">
      <c r="B548" s="3"/>
      <c r="C548" s="3"/>
    </row>
    <row r="549" spans="2:3" x14ac:dyDescent="0.25">
      <c r="B549" s="3"/>
      <c r="C549" s="3"/>
    </row>
    <row r="550" spans="2:3" x14ac:dyDescent="0.25">
      <c r="B550" s="3"/>
      <c r="C550" s="3"/>
    </row>
    <row r="551" spans="2:3" x14ac:dyDescent="0.25">
      <c r="B551" s="3"/>
      <c r="C551" s="3"/>
    </row>
    <row r="552" spans="2:3" x14ac:dyDescent="0.25">
      <c r="B552" s="3"/>
      <c r="C552" s="3"/>
    </row>
    <row r="553" spans="2:3" x14ac:dyDescent="0.25">
      <c r="B553" s="3"/>
      <c r="C553" s="3"/>
    </row>
    <row r="554" spans="2:3" x14ac:dyDescent="0.25">
      <c r="B554" s="3"/>
      <c r="C554" s="3"/>
    </row>
    <row r="555" spans="2:3" x14ac:dyDescent="0.25">
      <c r="B555" s="3"/>
      <c r="C555" s="3"/>
    </row>
    <row r="556" spans="2:3" x14ac:dyDescent="0.25">
      <c r="B556" s="3"/>
      <c r="C556" s="3"/>
    </row>
    <row r="557" spans="2:3" x14ac:dyDescent="0.25">
      <c r="B557" s="3"/>
      <c r="C557" s="3"/>
    </row>
    <row r="558" spans="2:3" x14ac:dyDescent="0.25">
      <c r="B558" s="3"/>
      <c r="C558" s="3"/>
    </row>
    <row r="559" spans="2:3" x14ac:dyDescent="0.25">
      <c r="B559" s="3"/>
      <c r="C559" s="3"/>
    </row>
    <row r="560" spans="2:3" x14ac:dyDescent="0.25">
      <c r="B560" s="3"/>
      <c r="C560" s="3"/>
    </row>
    <row r="561" spans="2:3" x14ac:dyDescent="0.25">
      <c r="B561" s="3"/>
      <c r="C561" s="3"/>
    </row>
    <row r="562" spans="2:3" x14ac:dyDescent="0.25">
      <c r="B562" s="3"/>
      <c r="C562" s="3"/>
    </row>
    <row r="563" spans="2:3" x14ac:dyDescent="0.25">
      <c r="B563" s="3"/>
      <c r="C563" s="3"/>
    </row>
    <row r="564" spans="2:3" x14ac:dyDescent="0.25">
      <c r="B564" s="3"/>
      <c r="C564" s="3"/>
    </row>
    <row r="565" spans="2:3" x14ac:dyDescent="0.25">
      <c r="B565" s="3"/>
      <c r="C565" s="3"/>
    </row>
    <row r="566" spans="2:3" x14ac:dyDescent="0.25">
      <c r="B566" s="3"/>
      <c r="C566" s="3"/>
    </row>
    <row r="567" spans="2:3" x14ac:dyDescent="0.25">
      <c r="B567" s="3"/>
      <c r="C567" s="3"/>
    </row>
    <row r="568" spans="2:3" x14ac:dyDescent="0.25">
      <c r="B568" s="3"/>
      <c r="C568" s="3"/>
    </row>
    <row r="569" spans="2:3" x14ac:dyDescent="0.25">
      <c r="B569" s="3"/>
      <c r="C569" s="3"/>
    </row>
    <row r="570" spans="2:3" x14ac:dyDescent="0.25">
      <c r="B570" s="3"/>
      <c r="C570" s="3"/>
    </row>
    <row r="571" spans="2:3" x14ac:dyDescent="0.25">
      <c r="B571" s="3"/>
      <c r="C571" s="3"/>
    </row>
    <row r="572" spans="2:3" x14ac:dyDescent="0.25">
      <c r="B572" s="3"/>
      <c r="C572" s="3"/>
    </row>
    <row r="573" spans="2:3" x14ac:dyDescent="0.25">
      <c r="B573" s="3"/>
      <c r="C573" s="3"/>
    </row>
    <row r="574" spans="2:3" x14ac:dyDescent="0.25">
      <c r="B574" s="3"/>
      <c r="C574" s="3"/>
    </row>
    <row r="575" spans="2:3" x14ac:dyDescent="0.25">
      <c r="B575" s="3"/>
      <c r="C575" s="3"/>
    </row>
    <row r="576" spans="2:3" x14ac:dyDescent="0.25">
      <c r="B576" s="3"/>
      <c r="C576" s="3"/>
    </row>
    <row r="577" spans="2:3" x14ac:dyDescent="0.25">
      <c r="B577" s="3"/>
      <c r="C577" s="3"/>
    </row>
    <row r="578" spans="2:3" x14ac:dyDescent="0.25">
      <c r="B578" s="3"/>
      <c r="C578" s="3"/>
    </row>
    <row r="579" spans="2:3" x14ac:dyDescent="0.25">
      <c r="B579" s="3"/>
      <c r="C579" s="3"/>
    </row>
    <row r="580" spans="2:3" x14ac:dyDescent="0.25">
      <c r="B580" s="3"/>
      <c r="C580" s="3"/>
    </row>
    <row r="581" spans="2:3" x14ac:dyDescent="0.25">
      <c r="B581" s="3"/>
      <c r="C581" s="3"/>
    </row>
    <row r="582" spans="2:3" x14ac:dyDescent="0.25">
      <c r="B582" s="3"/>
      <c r="C582" s="3"/>
    </row>
    <row r="583" spans="2:3" x14ac:dyDescent="0.25">
      <c r="B583" s="3"/>
      <c r="C583" s="3"/>
    </row>
    <row r="584" spans="2:3" x14ac:dyDescent="0.25">
      <c r="B584" s="3"/>
      <c r="C584" s="3"/>
    </row>
    <row r="585" spans="2:3" x14ac:dyDescent="0.25">
      <c r="B585" s="3"/>
      <c r="C585" s="3"/>
    </row>
    <row r="586" spans="2:3" x14ac:dyDescent="0.25">
      <c r="B586" s="3"/>
      <c r="C586" s="3"/>
    </row>
    <row r="587" spans="2:3" x14ac:dyDescent="0.25">
      <c r="B587" s="3"/>
      <c r="C587" s="3"/>
    </row>
    <row r="588" spans="2:3" x14ac:dyDescent="0.25">
      <c r="B588" s="3"/>
      <c r="C588" s="3"/>
    </row>
    <row r="589" spans="2:3" x14ac:dyDescent="0.25">
      <c r="B589" s="3"/>
      <c r="C589" s="3"/>
    </row>
    <row r="590" spans="2:3" x14ac:dyDescent="0.25">
      <c r="B590" s="3"/>
      <c r="C590" s="3"/>
    </row>
    <row r="591" spans="2:3" x14ac:dyDescent="0.25">
      <c r="B591" s="3"/>
      <c r="C591" s="3"/>
    </row>
    <row r="592" spans="2:3" x14ac:dyDescent="0.25">
      <c r="B592" s="3"/>
      <c r="C592" s="3"/>
    </row>
    <row r="593" spans="2:3" x14ac:dyDescent="0.25">
      <c r="B593" s="3"/>
      <c r="C593" s="3"/>
    </row>
    <row r="594" spans="2:3" x14ac:dyDescent="0.25">
      <c r="B594" s="3"/>
      <c r="C594" s="3"/>
    </row>
    <row r="595" spans="2:3" x14ac:dyDescent="0.25">
      <c r="B595" s="3"/>
      <c r="C595" s="3"/>
    </row>
    <row r="596" spans="2:3" x14ac:dyDescent="0.25">
      <c r="B596" s="3"/>
      <c r="C596" s="3"/>
    </row>
    <row r="597" spans="2:3" x14ac:dyDescent="0.25">
      <c r="B597" s="3"/>
      <c r="C597" s="3"/>
    </row>
    <row r="598" spans="2:3" x14ac:dyDescent="0.25">
      <c r="B598" s="3"/>
      <c r="C598" s="3"/>
    </row>
    <row r="599" spans="2:3" x14ac:dyDescent="0.25">
      <c r="B599" s="3"/>
      <c r="C599" s="3"/>
    </row>
    <row r="600" spans="2:3" x14ac:dyDescent="0.25">
      <c r="B600" s="3"/>
      <c r="C600" s="3"/>
    </row>
    <row r="601" spans="2:3" x14ac:dyDescent="0.25">
      <c r="B601" s="3"/>
      <c r="C601" s="3"/>
    </row>
    <row r="602" spans="2:3" x14ac:dyDescent="0.25">
      <c r="B602" s="3"/>
      <c r="C602" s="3"/>
    </row>
    <row r="603" spans="2:3" x14ac:dyDescent="0.25">
      <c r="B603" s="3"/>
      <c r="C603" s="3"/>
    </row>
    <row r="604" spans="2:3" x14ac:dyDescent="0.25">
      <c r="B604" s="3"/>
      <c r="C604" s="3"/>
    </row>
    <row r="605" spans="2:3" x14ac:dyDescent="0.25">
      <c r="B605" s="3"/>
      <c r="C605" s="3"/>
    </row>
    <row r="606" spans="2:3" x14ac:dyDescent="0.25">
      <c r="B606" s="3"/>
      <c r="C606" s="3"/>
    </row>
    <row r="607" spans="2:3" x14ac:dyDescent="0.25">
      <c r="B607" s="3"/>
      <c r="C607" s="3"/>
    </row>
    <row r="608" spans="2:3" x14ac:dyDescent="0.25">
      <c r="B608" s="3"/>
      <c r="C608" s="3"/>
    </row>
    <row r="609" spans="2:3" x14ac:dyDescent="0.25">
      <c r="B609" s="3"/>
      <c r="C609" s="3"/>
    </row>
    <row r="610" spans="2:3" x14ac:dyDescent="0.25">
      <c r="B610" s="3"/>
      <c r="C610" s="3"/>
    </row>
    <row r="611" spans="2:3" x14ac:dyDescent="0.25">
      <c r="B611" s="3"/>
      <c r="C611" s="3"/>
    </row>
    <row r="612" spans="2:3" x14ac:dyDescent="0.25">
      <c r="B612" s="3"/>
      <c r="C612" s="3"/>
    </row>
    <row r="613" spans="2:3" x14ac:dyDescent="0.25">
      <c r="B613" s="3"/>
      <c r="C613" s="3"/>
    </row>
    <row r="614" spans="2:3" x14ac:dyDescent="0.25">
      <c r="B614" s="3"/>
      <c r="C614" s="3"/>
    </row>
    <row r="615" spans="2:3" x14ac:dyDescent="0.25">
      <c r="B615" s="3"/>
      <c r="C615" s="3"/>
    </row>
    <row r="616" spans="2:3" x14ac:dyDescent="0.25">
      <c r="B616" s="3"/>
      <c r="C616" s="3"/>
    </row>
    <row r="617" spans="2:3" x14ac:dyDescent="0.25">
      <c r="B617" s="3"/>
      <c r="C617" s="3"/>
    </row>
    <row r="618" spans="2:3" x14ac:dyDescent="0.25">
      <c r="B618" s="3"/>
      <c r="C618" s="3"/>
    </row>
    <row r="619" spans="2:3" x14ac:dyDescent="0.25">
      <c r="B619" s="3"/>
      <c r="C619" s="3"/>
    </row>
    <row r="620" spans="2:3" x14ac:dyDescent="0.25">
      <c r="B620" s="3"/>
      <c r="C620" s="3"/>
    </row>
    <row r="621" spans="2:3" x14ac:dyDescent="0.25">
      <c r="B621" s="3"/>
      <c r="C621" s="3"/>
    </row>
    <row r="622" spans="2:3" x14ac:dyDescent="0.25">
      <c r="B622" s="3"/>
      <c r="C622" s="3"/>
    </row>
    <row r="623" spans="2:3" x14ac:dyDescent="0.25">
      <c r="B623" s="3"/>
      <c r="C623" s="3"/>
    </row>
    <row r="624" spans="2:3" x14ac:dyDescent="0.25">
      <c r="B624" s="3"/>
      <c r="C624" s="3"/>
    </row>
    <row r="625" spans="2:3" x14ac:dyDescent="0.25">
      <c r="B625" s="3"/>
      <c r="C625" s="3"/>
    </row>
    <row r="626" spans="2:3" x14ac:dyDescent="0.25">
      <c r="B626" s="3"/>
      <c r="C626" s="3"/>
    </row>
    <row r="627" spans="2:3" x14ac:dyDescent="0.25">
      <c r="B627" s="3"/>
      <c r="C627" s="3"/>
    </row>
    <row r="628" spans="2:3" x14ac:dyDescent="0.25">
      <c r="B628" s="3"/>
      <c r="C628" s="3"/>
    </row>
    <row r="629" spans="2:3" x14ac:dyDescent="0.25">
      <c r="B629" s="3"/>
      <c r="C629" s="3"/>
    </row>
    <row r="630" spans="2:3" x14ac:dyDescent="0.25">
      <c r="B630" s="3"/>
      <c r="C630" s="3"/>
    </row>
    <row r="631" spans="2:3" x14ac:dyDescent="0.25">
      <c r="B631" s="3"/>
      <c r="C631" s="3"/>
    </row>
    <row r="632" spans="2:3" x14ac:dyDescent="0.25">
      <c r="B632" s="3"/>
      <c r="C632" s="3"/>
    </row>
    <row r="633" spans="2:3" x14ac:dyDescent="0.25">
      <c r="B633" s="3"/>
      <c r="C633" s="3"/>
    </row>
    <row r="634" spans="2:3" x14ac:dyDescent="0.25">
      <c r="B634" s="3"/>
      <c r="C634" s="3"/>
    </row>
    <row r="635" spans="2:3" x14ac:dyDescent="0.25">
      <c r="B635" s="3"/>
      <c r="C635" s="3"/>
    </row>
    <row r="636" spans="2:3" x14ac:dyDescent="0.25">
      <c r="B636" s="3"/>
      <c r="C636" s="3"/>
    </row>
    <row r="637" spans="2:3" x14ac:dyDescent="0.25">
      <c r="B637" s="3"/>
      <c r="C637" s="3"/>
    </row>
    <row r="638" spans="2:3" x14ac:dyDescent="0.25">
      <c r="B638" s="3"/>
      <c r="C638" s="3"/>
    </row>
    <row r="639" spans="2:3" x14ac:dyDescent="0.25">
      <c r="B639" s="3"/>
      <c r="C639" s="3"/>
    </row>
    <row r="640" spans="2:3" x14ac:dyDescent="0.25">
      <c r="B640" s="3"/>
      <c r="C640" s="3"/>
    </row>
    <row r="641" spans="2:3" x14ac:dyDescent="0.25">
      <c r="B641" s="3"/>
      <c r="C641" s="3"/>
    </row>
    <row r="642" spans="2:3" x14ac:dyDescent="0.25">
      <c r="B642" s="3"/>
      <c r="C642" s="3"/>
    </row>
    <row r="643" spans="2:3" x14ac:dyDescent="0.25">
      <c r="B643" s="3"/>
      <c r="C643" s="3"/>
    </row>
    <row r="644" spans="2:3" x14ac:dyDescent="0.25">
      <c r="B644" s="3"/>
      <c r="C644" s="3"/>
    </row>
    <row r="645" spans="2:3" x14ac:dyDescent="0.25">
      <c r="B645" s="3"/>
      <c r="C645" s="3"/>
    </row>
    <row r="646" spans="2:3" x14ac:dyDescent="0.25">
      <c r="B646" s="3"/>
      <c r="C646" s="3"/>
    </row>
    <row r="647" spans="2:3" x14ac:dyDescent="0.25">
      <c r="B647" s="3"/>
      <c r="C647" s="3"/>
    </row>
    <row r="648" spans="2:3" x14ac:dyDescent="0.25">
      <c r="B648" s="3"/>
      <c r="C648" s="3"/>
    </row>
    <row r="649" spans="2:3" x14ac:dyDescent="0.25">
      <c r="B649" s="3"/>
      <c r="C649" s="3"/>
    </row>
    <row r="650" spans="2:3" x14ac:dyDescent="0.25">
      <c r="B650" s="3"/>
      <c r="C650" s="3"/>
    </row>
    <row r="651" spans="2:3" x14ac:dyDescent="0.25">
      <c r="B651" s="3"/>
      <c r="C651" s="3"/>
    </row>
    <row r="652" spans="2:3" x14ac:dyDescent="0.25">
      <c r="B652" s="3"/>
      <c r="C652" s="3"/>
    </row>
    <row r="653" spans="2:3" x14ac:dyDescent="0.25">
      <c r="B653" s="3"/>
      <c r="C653" s="3"/>
    </row>
    <row r="654" spans="2:3" x14ac:dyDescent="0.25">
      <c r="B654" s="3"/>
      <c r="C654" s="3"/>
    </row>
    <row r="655" spans="2:3" x14ac:dyDescent="0.25">
      <c r="B655" s="3"/>
      <c r="C655" s="3"/>
    </row>
    <row r="656" spans="2:3" x14ac:dyDescent="0.25">
      <c r="B656" s="3"/>
      <c r="C656" s="3"/>
    </row>
    <row r="657" spans="2:3" x14ac:dyDescent="0.25">
      <c r="B657" s="3"/>
      <c r="C657" s="3"/>
    </row>
    <row r="658" spans="2:3" x14ac:dyDescent="0.25">
      <c r="B658" s="3"/>
      <c r="C658" s="3"/>
    </row>
    <row r="659" spans="2:3" x14ac:dyDescent="0.25">
      <c r="B659" s="3"/>
      <c r="C659" s="3"/>
    </row>
    <row r="660" spans="2:3" x14ac:dyDescent="0.25">
      <c r="B660" s="3"/>
      <c r="C660" s="3"/>
    </row>
    <row r="661" spans="2:3" x14ac:dyDescent="0.25">
      <c r="B661" s="3"/>
      <c r="C661" s="3"/>
    </row>
    <row r="662" spans="2:3" x14ac:dyDescent="0.25">
      <c r="B662" s="3"/>
      <c r="C662" s="3"/>
    </row>
    <row r="663" spans="2:3" x14ac:dyDescent="0.25">
      <c r="B663" s="3"/>
      <c r="C663" s="3"/>
    </row>
    <row r="664" spans="2:3" x14ac:dyDescent="0.25">
      <c r="B664" s="3"/>
      <c r="C664" s="3"/>
    </row>
    <row r="665" spans="2:3" x14ac:dyDescent="0.25">
      <c r="B665" s="3"/>
      <c r="C665" s="3"/>
    </row>
    <row r="666" spans="2:3" x14ac:dyDescent="0.25">
      <c r="B666" s="3"/>
      <c r="C666" s="3"/>
    </row>
    <row r="667" spans="2:3" x14ac:dyDescent="0.25">
      <c r="B667" s="3"/>
      <c r="C667" s="3"/>
    </row>
    <row r="668" spans="2:3" x14ac:dyDescent="0.25">
      <c r="B668" s="3"/>
      <c r="C668" s="3"/>
    </row>
    <row r="669" spans="2:3" x14ac:dyDescent="0.25">
      <c r="B669" s="3"/>
      <c r="C669" s="3"/>
    </row>
    <row r="670" spans="2:3" x14ac:dyDescent="0.25">
      <c r="B670" s="3"/>
      <c r="C670" s="3"/>
    </row>
    <row r="671" spans="2:3" x14ac:dyDescent="0.25">
      <c r="B671" s="3"/>
      <c r="C671" s="3"/>
    </row>
    <row r="672" spans="2:3" x14ac:dyDescent="0.25">
      <c r="B672" s="3"/>
      <c r="C672" s="3"/>
    </row>
    <row r="673" spans="2:3" x14ac:dyDescent="0.25">
      <c r="B673" s="3"/>
      <c r="C673" s="3"/>
    </row>
    <row r="674" spans="2:3" x14ac:dyDescent="0.25">
      <c r="B674" s="3"/>
      <c r="C674" s="3"/>
    </row>
    <row r="675" spans="2:3" x14ac:dyDescent="0.25">
      <c r="B675" s="3"/>
      <c r="C675" s="3"/>
    </row>
    <row r="676" spans="2:3" x14ac:dyDescent="0.25">
      <c r="B676" s="3"/>
      <c r="C676" s="3"/>
    </row>
    <row r="677" spans="2:3" x14ac:dyDescent="0.25">
      <c r="B677" s="3"/>
      <c r="C677" s="3"/>
    </row>
    <row r="678" spans="2:3" x14ac:dyDescent="0.25">
      <c r="B678" s="3"/>
      <c r="C678" s="3"/>
    </row>
    <row r="679" spans="2:3" x14ac:dyDescent="0.25">
      <c r="B679" s="3"/>
      <c r="C679" s="3"/>
    </row>
    <row r="680" spans="2:3" x14ac:dyDescent="0.25">
      <c r="B680" s="3"/>
      <c r="C680" s="3"/>
    </row>
    <row r="681" spans="2:3" x14ac:dyDescent="0.25">
      <c r="B681" s="3"/>
      <c r="C681" s="3"/>
    </row>
    <row r="682" spans="2:3" x14ac:dyDescent="0.25">
      <c r="B682" s="3"/>
      <c r="C682" s="3"/>
    </row>
    <row r="683" spans="2:3" x14ac:dyDescent="0.25">
      <c r="B683" s="3"/>
      <c r="C683" s="3"/>
    </row>
    <row r="684" spans="2:3" x14ac:dyDescent="0.25">
      <c r="B684" s="3"/>
      <c r="C684" s="3"/>
    </row>
    <row r="685" spans="2:3" x14ac:dyDescent="0.25">
      <c r="B685" s="3"/>
      <c r="C685" s="3"/>
    </row>
    <row r="686" spans="2:3" x14ac:dyDescent="0.25">
      <c r="B686" s="3"/>
      <c r="C686" s="3"/>
    </row>
    <row r="687" spans="2:3" x14ac:dyDescent="0.25">
      <c r="B687" s="3"/>
      <c r="C687" s="3"/>
    </row>
    <row r="688" spans="2:3" x14ac:dyDescent="0.25">
      <c r="B688" s="3"/>
      <c r="C688" s="3"/>
    </row>
    <row r="689" spans="2:3" x14ac:dyDescent="0.25">
      <c r="B689" s="3"/>
      <c r="C689" s="3"/>
    </row>
    <row r="690" spans="2:3" x14ac:dyDescent="0.25">
      <c r="B690" s="3"/>
      <c r="C690" s="3"/>
    </row>
    <row r="691" spans="2:3" x14ac:dyDescent="0.25">
      <c r="B691" s="3"/>
      <c r="C691" s="3"/>
    </row>
    <row r="692" spans="2:3" x14ac:dyDescent="0.25">
      <c r="B692" s="3"/>
      <c r="C692" s="3"/>
    </row>
    <row r="693" spans="2:3" x14ac:dyDescent="0.25">
      <c r="B693" s="3"/>
      <c r="C693" s="3"/>
    </row>
    <row r="694" spans="2:3" x14ac:dyDescent="0.25">
      <c r="B694" s="3"/>
      <c r="C694" s="3"/>
    </row>
    <row r="695" spans="2:3" x14ac:dyDescent="0.25">
      <c r="B695" s="3"/>
      <c r="C695" s="3"/>
    </row>
    <row r="696" spans="2:3" x14ac:dyDescent="0.25">
      <c r="B696" s="3"/>
      <c r="C696" s="3"/>
    </row>
    <row r="697" spans="2:3" x14ac:dyDescent="0.25">
      <c r="B697" s="3"/>
      <c r="C697" s="3"/>
    </row>
    <row r="698" spans="2:3" x14ac:dyDescent="0.25">
      <c r="B698" s="3"/>
      <c r="C698" s="3"/>
    </row>
    <row r="699" spans="2:3" x14ac:dyDescent="0.25">
      <c r="B699" s="3"/>
      <c r="C699" s="3"/>
    </row>
    <row r="700" spans="2:3" x14ac:dyDescent="0.25">
      <c r="B700" s="3"/>
      <c r="C700" s="3"/>
    </row>
    <row r="701" spans="2:3" x14ac:dyDescent="0.25">
      <c r="B701" s="3"/>
      <c r="C701" s="3"/>
    </row>
    <row r="702" spans="2:3" x14ac:dyDescent="0.25">
      <c r="B702" s="3"/>
      <c r="C702" s="3"/>
    </row>
    <row r="703" spans="2:3" x14ac:dyDescent="0.25">
      <c r="B703" s="3"/>
      <c r="C703" s="3"/>
    </row>
    <row r="704" spans="2:3" x14ac:dyDescent="0.25">
      <c r="B704" s="3"/>
      <c r="C704" s="3"/>
    </row>
    <row r="705" spans="2:3" x14ac:dyDescent="0.25">
      <c r="B705" s="3"/>
      <c r="C705" s="3"/>
    </row>
    <row r="706" spans="2:3" x14ac:dyDescent="0.25">
      <c r="B706" s="3"/>
      <c r="C706" s="3"/>
    </row>
    <row r="707" spans="2:3" x14ac:dyDescent="0.25">
      <c r="B707" s="3"/>
      <c r="C707" s="3"/>
    </row>
    <row r="708" spans="2:3" x14ac:dyDescent="0.25">
      <c r="B708" s="3"/>
      <c r="C708" s="3"/>
    </row>
    <row r="709" spans="2:3" x14ac:dyDescent="0.25">
      <c r="B709" s="3"/>
      <c r="C709" s="3"/>
    </row>
    <row r="710" spans="2:3" x14ac:dyDescent="0.25">
      <c r="B710" s="3"/>
      <c r="C710" s="3"/>
    </row>
    <row r="711" spans="2:3" x14ac:dyDescent="0.25">
      <c r="B711" s="3"/>
      <c r="C711" s="3"/>
    </row>
    <row r="712" spans="2:3" x14ac:dyDescent="0.25">
      <c r="B712" s="3"/>
      <c r="C712" s="3"/>
    </row>
    <row r="713" spans="2:3" x14ac:dyDescent="0.25">
      <c r="B713" s="3"/>
      <c r="C713" s="3"/>
    </row>
    <row r="714" spans="2:3" x14ac:dyDescent="0.25">
      <c r="B714" s="3"/>
      <c r="C714" s="3"/>
    </row>
    <row r="715" spans="2:3" x14ac:dyDescent="0.25">
      <c r="B715" s="3"/>
      <c r="C715" s="3"/>
    </row>
    <row r="716" spans="2:3" x14ac:dyDescent="0.25">
      <c r="B716" s="3"/>
      <c r="C716" s="3"/>
    </row>
    <row r="717" spans="2:3" x14ac:dyDescent="0.25">
      <c r="B717" s="3"/>
      <c r="C717" s="3"/>
    </row>
    <row r="718" spans="2:3" x14ac:dyDescent="0.25">
      <c r="B718" s="3"/>
      <c r="C718" s="3"/>
    </row>
    <row r="719" spans="2:3" x14ac:dyDescent="0.25">
      <c r="B719" s="3"/>
      <c r="C719" s="3"/>
    </row>
    <row r="720" spans="2:3" x14ac:dyDescent="0.25">
      <c r="B720" s="3"/>
      <c r="C720" s="3"/>
    </row>
    <row r="721" spans="2:3" x14ac:dyDescent="0.25">
      <c r="B721" s="3"/>
      <c r="C721" s="3"/>
    </row>
    <row r="722" spans="2:3" x14ac:dyDescent="0.25">
      <c r="B722" s="3"/>
      <c r="C722" s="3"/>
    </row>
    <row r="723" spans="2:3" x14ac:dyDescent="0.25">
      <c r="B723" s="3"/>
      <c r="C723" s="3"/>
    </row>
    <row r="724" spans="2:3" x14ac:dyDescent="0.25">
      <c r="B724" s="3"/>
      <c r="C724" s="3"/>
    </row>
    <row r="725" spans="2:3" x14ac:dyDescent="0.25">
      <c r="B725" s="3"/>
      <c r="C725" s="3"/>
    </row>
    <row r="726" spans="2:3" x14ac:dyDescent="0.25">
      <c r="B726" s="3"/>
      <c r="C726" s="3"/>
    </row>
    <row r="727" spans="2:3" x14ac:dyDescent="0.25">
      <c r="B727" s="3"/>
      <c r="C727" s="3"/>
    </row>
    <row r="728" spans="2:3" x14ac:dyDescent="0.25">
      <c r="B728" s="3"/>
      <c r="C728" s="3"/>
    </row>
    <row r="729" spans="2:3" x14ac:dyDescent="0.25">
      <c r="B729" s="3"/>
      <c r="C729" s="3"/>
    </row>
    <row r="730" spans="2:3" x14ac:dyDescent="0.25">
      <c r="B730" s="3"/>
      <c r="C730" s="3"/>
    </row>
    <row r="731" spans="2:3" x14ac:dyDescent="0.25">
      <c r="B731" s="3"/>
      <c r="C731" s="3"/>
    </row>
    <row r="732" spans="2:3" x14ac:dyDescent="0.25">
      <c r="B732" s="3"/>
      <c r="C732" s="3"/>
    </row>
    <row r="733" spans="2:3" x14ac:dyDescent="0.25">
      <c r="B733" s="3"/>
      <c r="C733" s="3"/>
    </row>
    <row r="734" spans="2:3" x14ac:dyDescent="0.25">
      <c r="B734" s="3"/>
      <c r="C734" s="3"/>
    </row>
    <row r="735" spans="2:3" x14ac:dyDescent="0.25">
      <c r="B735" s="3"/>
      <c r="C735" s="3"/>
    </row>
    <row r="736" spans="2:3" x14ac:dyDescent="0.25">
      <c r="B736" s="3"/>
      <c r="C736" s="3"/>
    </row>
    <row r="737" spans="2:3" x14ac:dyDescent="0.25">
      <c r="B737" s="3"/>
      <c r="C737" s="3"/>
    </row>
    <row r="738" spans="2:3" x14ac:dyDescent="0.25">
      <c r="B738" s="3"/>
      <c r="C738" s="3"/>
    </row>
    <row r="739" spans="2:3" x14ac:dyDescent="0.25">
      <c r="B739" s="3"/>
      <c r="C739" s="3"/>
    </row>
    <row r="740" spans="2:3" x14ac:dyDescent="0.25">
      <c r="B740" s="3"/>
      <c r="C740" s="3"/>
    </row>
    <row r="741" spans="2:3" x14ac:dyDescent="0.25">
      <c r="B741" s="3"/>
      <c r="C741" s="3"/>
    </row>
    <row r="742" spans="2:3" x14ac:dyDescent="0.25">
      <c r="B742" s="3"/>
      <c r="C742" s="3"/>
    </row>
    <row r="743" spans="2:3" x14ac:dyDescent="0.25">
      <c r="B743" s="3"/>
      <c r="C743" s="3"/>
    </row>
    <row r="744" spans="2:3" x14ac:dyDescent="0.25">
      <c r="B744" s="3"/>
      <c r="C744" s="3"/>
    </row>
    <row r="745" spans="2:3" x14ac:dyDescent="0.25">
      <c r="B745" s="3"/>
      <c r="C745" s="3"/>
    </row>
    <row r="746" spans="2:3" x14ac:dyDescent="0.25">
      <c r="B746" s="3"/>
      <c r="C746" s="3"/>
    </row>
    <row r="747" spans="2:3" x14ac:dyDescent="0.25">
      <c r="B747" s="3"/>
      <c r="C747" s="3"/>
    </row>
    <row r="748" spans="2:3" x14ac:dyDescent="0.25">
      <c r="B748" s="3"/>
      <c r="C748" s="3"/>
    </row>
    <row r="749" spans="2:3" x14ac:dyDescent="0.25">
      <c r="B749" s="3"/>
      <c r="C749" s="3"/>
    </row>
    <row r="750" spans="2:3" x14ac:dyDescent="0.25">
      <c r="B750" s="3"/>
      <c r="C750" s="3"/>
    </row>
    <row r="751" spans="2:3" x14ac:dyDescent="0.25">
      <c r="B751" s="3"/>
      <c r="C751" s="3"/>
    </row>
    <row r="752" spans="2:3" x14ac:dyDescent="0.25">
      <c r="B752" s="3"/>
      <c r="C752" s="3"/>
    </row>
    <row r="753" spans="2:3" x14ac:dyDescent="0.25">
      <c r="B753" s="3"/>
      <c r="C753" s="3"/>
    </row>
    <row r="754" spans="2:3" x14ac:dyDescent="0.25">
      <c r="B754" s="3"/>
      <c r="C754" s="3"/>
    </row>
    <row r="755" spans="2:3" x14ac:dyDescent="0.25">
      <c r="B755" s="3"/>
      <c r="C755" s="3"/>
    </row>
    <row r="756" spans="2:3" x14ac:dyDescent="0.25">
      <c r="B756" s="3"/>
      <c r="C756" s="3"/>
    </row>
    <row r="757" spans="2:3" x14ac:dyDescent="0.25">
      <c r="B757" s="3"/>
      <c r="C757" s="3"/>
    </row>
    <row r="758" spans="2:3" x14ac:dyDescent="0.25">
      <c r="B758" s="3"/>
      <c r="C758" s="3"/>
    </row>
    <row r="759" spans="2:3" x14ac:dyDescent="0.25">
      <c r="B759" s="3"/>
      <c r="C759" s="3"/>
    </row>
    <row r="760" spans="2:3" x14ac:dyDescent="0.25">
      <c r="B760" s="3"/>
      <c r="C760" s="3"/>
    </row>
    <row r="761" spans="2:3" x14ac:dyDescent="0.25">
      <c r="B761" s="3"/>
      <c r="C761" s="3"/>
    </row>
    <row r="762" spans="2:3" x14ac:dyDescent="0.25">
      <c r="B762" s="3"/>
      <c r="C762" s="3"/>
    </row>
    <row r="763" spans="2:3" x14ac:dyDescent="0.25">
      <c r="B763" s="3"/>
      <c r="C763" s="3"/>
    </row>
    <row r="764" spans="2:3" x14ac:dyDescent="0.25">
      <c r="B764" s="3"/>
      <c r="C764" s="3"/>
    </row>
    <row r="765" spans="2:3" x14ac:dyDescent="0.25">
      <c r="B765" s="3"/>
      <c r="C765" s="3"/>
    </row>
    <row r="766" spans="2:3" x14ac:dyDescent="0.25">
      <c r="B766" s="3"/>
      <c r="C766" s="3"/>
    </row>
    <row r="767" spans="2:3" x14ac:dyDescent="0.25">
      <c r="B767" s="3"/>
      <c r="C767" s="3"/>
    </row>
    <row r="768" spans="2:3" x14ac:dyDescent="0.25">
      <c r="B768" s="3"/>
      <c r="C768" s="3"/>
    </row>
    <row r="769" spans="2:3" x14ac:dyDescent="0.25">
      <c r="B769" s="3"/>
      <c r="C769" s="3"/>
    </row>
    <row r="770" spans="2:3" x14ac:dyDescent="0.25">
      <c r="B770" s="3"/>
      <c r="C770" s="3"/>
    </row>
    <row r="771" spans="2:3" x14ac:dyDescent="0.25">
      <c r="B771" s="3"/>
      <c r="C771" s="3"/>
    </row>
    <row r="772" spans="2:3" x14ac:dyDescent="0.25">
      <c r="B772" s="3"/>
      <c r="C772" s="3"/>
    </row>
    <row r="773" spans="2:3" x14ac:dyDescent="0.25">
      <c r="B773" s="3"/>
      <c r="C773" s="3"/>
    </row>
    <row r="774" spans="2:3" x14ac:dyDescent="0.25">
      <c r="B774" s="3"/>
      <c r="C774" s="3"/>
    </row>
    <row r="775" spans="2:3" x14ac:dyDescent="0.25">
      <c r="B775" s="3"/>
      <c r="C775" s="3"/>
    </row>
    <row r="776" spans="2:3" x14ac:dyDescent="0.25">
      <c r="B776" s="3"/>
      <c r="C776" s="3"/>
    </row>
    <row r="777" spans="2:3" x14ac:dyDescent="0.25">
      <c r="B777" s="3"/>
      <c r="C777" s="3"/>
    </row>
    <row r="778" spans="2:3" x14ac:dyDescent="0.25">
      <c r="B778" s="3"/>
      <c r="C778" s="3"/>
    </row>
    <row r="779" spans="2:3" x14ac:dyDescent="0.25">
      <c r="B779" s="3"/>
      <c r="C779" s="3"/>
    </row>
    <row r="780" spans="2:3" x14ac:dyDescent="0.25">
      <c r="B780" s="3"/>
      <c r="C780" s="3"/>
    </row>
    <row r="781" spans="2:3" x14ac:dyDescent="0.25">
      <c r="B781" s="3"/>
      <c r="C781" s="3"/>
    </row>
    <row r="782" spans="2:3" x14ac:dyDescent="0.25">
      <c r="B782" s="3"/>
      <c r="C782" s="3"/>
    </row>
    <row r="783" spans="2:3" x14ac:dyDescent="0.25">
      <c r="B783" s="3"/>
      <c r="C783" s="3"/>
    </row>
    <row r="784" spans="2:3" x14ac:dyDescent="0.25">
      <c r="B784" s="3"/>
      <c r="C784" s="3"/>
    </row>
    <row r="785" spans="2:3" x14ac:dyDescent="0.25">
      <c r="B785" s="3"/>
      <c r="C785" s="3"/>
    </row>
    <row r="786" spans="2:3" x14ac:dyDescent="0.25">
      <c r="B786" s="3"/>
      <c r="C786" s="3"/>
    </row>
    <row r="787" spans="2:3" x14ac:dyDescent="0.25">
      <c r="B787" s="3"/>
      <c r="C787" s="3"/>
    </row>
    <row r="788" spans="2:3" x14ac:dyDescent="0.25">
      <c r="B788" s="3"/>
      <c r="C788" s="3"/>
    </row>
    <row r="789" spans="2:3" x14ac:dyDescent="0.25">
      <c r="B789" s="3"/>
      <c r="C789" s="3"/>
    </row>
    <row r="790" spans="2:3" x14ac:dyDescent="0.25">
      <c r="B790" s="3"/>
      <c r="C790" s="3"/>
    </row>
    <row r="791" spans="2:3" x14ac:dyDescent="0.25">
      <c r="B791" s="3"/>
      <c r="C791" s="3"/>
    </row>
    <row r="792" spans="2:3" x14ac:dyDescent="0.25">
      <c r="B792" s="3"/>
      <c r="C792" s="3"/>
    </row>
    <row r="793" spans="2:3" x14ac:dyDescent="0.25">
      <c r="B793" s="3"/>
      <c r="C793" s="3"/>
    </row>
    <row r="794" spans="2:3" x14ac:dyDescent="0.25">
      <c r="B794" s="3"/>
      <c r="C794" s="3"/>
    </row>
    <row r="795" spans="2:3" x14ac:dyDescent="0.25">
      <c r="B795" s="3"/>
      <c r="C795" s="3"/>
    </row>
    <row r="796" spans="2:3" x14ac:dyDescent="0.25">
      <c r="B796" s="3"/>
      <c r="C796" s="3"/>
    </row>
    <row r="797" spans="2:3" x14ac:dyDescent="0.25">
      <c r="B797" s="3"/>
      <c r="C797" s="3"/>
    </row>
    <row r="798" spans="2:3" x14ac:dyDescent="0.25">
      <c r="B798" s="3"/>
      <c r="C798" s="3"/>
    </row>
    <row r="799" spans="2:3" x14ac:dyDescent="0.25">
      <c r="B799" s="3"/>
      <c r="C799" s="3"/>
    </row>
    <row r="800" spans="2:3" x14ac:dyDescent="0.25">
      <c r="B800" s="3"/>
      <c r="C800" s="3"/>
    </row>
    <row r="801" spans="2:3" x14ac:dyDescent="0.25">
      <c r="B801" s="3"/>
      <c r="C801" s="3"/>
    </row>
    <row r="802" spans="2:3" x14ac:dyDescent="0.25">
      <c r="B802" s="3"/>
      <c r="C802" s="3"/>
    </row>
    <row r="803" spans="2:3" x14ac:dyDescent="0.25">
      <c r="B803" s="3"/>
      <c r="C803" s="3"/>
    </row>
    <row r="804" spans="2:3" x14ac:dyDescent="0.25">
      <c r="B804" s="3"/>
      <c r="C804" s="3"/>
    </row>
    <row r="805" spans="2:3" x14ac:dyDescent="0.25">
      <c r="B805" s="3"/>
      <c r="C805" s="3"/>
    </row>
    <row r="806" spans="2:3" x14ac:dyDescent="0.25">
      <c r="B806" s="3"/>
      <c r="C806" s="3"/>
    </row>
    <row r="807" spans="2:3" x14ac:dyDescent="0.25">
      <c r="B807" s="3"/>
      <c r="C807" s="3"/>
    </row>
    <row r="808" spans="2:3" x14ac:dyDescent="0.25">
      <c r="B808" s="3"/>
      <c r="C808" s="3"/>
    </row>
    <row r="809" spans="2:3" x14ac:dyDescent="0.25">
      <c r="B809" s="3"/>
      <c r="C809" s="3"/>
    </row>
    <row r="810" spans="2:3" x14ac:dyDescent="0.25">
      <c r="B810" s="3"/>
      <c r="C810" s="3"/>
    </row>
    <row r="811" spans="2:3" x14ac:dyDescent="0.25">
      <c r="B811" s="3"/>
      <c r="C811" s="3"/>
    </row>
    <row r="812" spans="2:3" x14ac:dyDescent="0.25">
      <c r="B812" s="3"/>
      <c r="C812" s="3"/>
    </row>
    <row r="813" spans="2:3" x14ac:dyDescent="0.25">
      <c r="B813" s="3"/>
      <c r="C813" s="3"/>
    </row>
    <row r="814" spans="2:3" x14ac:dyDescent="0.25">
      <c r="B814" s="3"/>
      <c r="C814" s="3"/>
    </row>
    <row r="815" spans="2:3" x14ac:dyDescent="0.25">
      <c r="B815" s="3"/>
      <c r="C815" s="3"/>
    </row>
    <row r="816" spans="2:3" x14ac:dyDescent="0.25">
      <c r="B816" s="3"/>
      <c r="C816" s="3"/>
    </row>
    <row r="817" spans="2:3" x14ac:dyDescent="0.25">
      <c r="B817" s="3"/>
      <c r="C817" s="3"/>
    </row>
    <row r="818" spans="2:3" x14ac:dyDescent="0.25">
      <c r="B818" s="3"/>
      <c r="C818" s="3"/>
    </row>
    <row r="819" spans="2:3" x14ac:dyDescent="0.25">
      <c r="B819" s="3"/>
      <c r="C819" s="3"/>
    </row>
    <row r="820" spans="2:3" x14ac:dyDescent="0.25">
      <c r="B820" s="3"/>
      <c r="C820" s="3"/>
    </row>
    <row r="821" spans="2:3" x14ac:dyDescent="0.25">
      <c r="B821" s="3"/>
      <c r="C821" s="3"/>
    </row>
    <row r="822" spans="2:3" x14ac:dyDescent="0.25">
      <c r="B822" s="3"/>
      <c r="C822" s="3"/>
    </row>
    <row r="823" spans="2:3" x14ac:dyDescent="0.25">
      <c r="B823" s="3"/>
      <c r="C823" s="3"/>
    </row>
    <row r="824" spans="2:3" x14ac:dyDescent="0.25">
      <c r="B824" s="3"/>
      <c r="C824" s="3"/>
    </row>
    <row r="825" spans="2:3" x14ac:dyDescent="0.25">
      <c r="B825" s="3"/>
      <c r="C825" s="3"/>
    </row>
    <row r="826" spans="2:3" x14ac:dyDescent="0.25">
      <c r="B826" s="3"/>
      <c r="C826" s="3"/>
    </row>
    <row r="827" spans="2:3" x14ac:dyDescent="0.25">
      <c r="B827" s="3"/>
      <c r="C827" s="3"/>
    </row>
    <row r="828" spans="2:3" x14ac:dyDescent="0.25">
      <c r="B828" s="3"/>
      <c r="C828" s="3"/>
    </row>
    <row r="829" spans="2:3" x14ac:dyDescent="0.25">
      <c r="B829" s="3"/>
      <c r="C829" s="3"/>
    </row>
    <row r="830" spans="2:3" x14ac:dyDescent="0.25">
      <c r="B830" s="3"/>
      <c r="C830" s="3"/>
    </row>
    <row r="831" spans="2:3" x14ac:dyDescent="0.25">
      <c r="B831" s="3"/>
      <c r="C831" s="3"/>
    </row>
    <row r="832" spans="2:3" x14ac:dyDescent="0.25">
      <c r="B832" s="3"/>
      <c r="C832" s="3"/>
    </row>
    <row r="833" spans="2:3" x14ac:dyDescent="0.25">
      <c r="B833" s="3"/>
      <c r="C833" s="3"/>
    </row>
    <row r="834" spans="2:3" x14ac:dyDescent="0.25">
      <c r="B834" s="3"/>
      <c r="C834" s="3"/>
    </row>
    <row r="835" spans="2:3" x14ac:dyDescent="0.25">
      <c r="B835" s="3"/>
      <c r="C835" s="3"/>
    </row>
    <row r="836" spans="2:3" x14ac:dyDescent="0.25">
      <c r="B836" s="3"/>
      <c r="C836" s="3"/>
    </row>
    <row r="837" spans="2:3" x14ac:dyDescent="0.25">
      <c r="B837" s="3"/>
      <c r="C837" s="3"/>
    </row>
    <row r="838" spans="2:3" x14ac:dyDescent="0.25">
      <c r="B838" s="3"/>
      <c r="C838" s="3"/>
    </row>
    <row r="839" spans="2:3" x14ac:dyDescent="0.25">
      <c r="B839" s="3"/>
      <c r="C839" s="3"/>
    </row>
    <row r="840" spans="2:3" x14ac:dyDescent="0.25">
      <c r="B840" s="3"/>
      <c r="C840" s="3"/>
    </row>
    <row r="841" spans="2:3" x14ac:dyDescent="0.25">
      <c r="B841" s="3"/>
      <c r="C841" s="3"/>
    </row>
    <row r="842" spans="2:3" x14ac:dyDescent="0.25">
      <c r="B842" s="3"/>
      <c r="C842" s="3"/>
    </row>
    <row r="843" spans="2:3" x14ac:dyDescent="0.25">
      <c r="B843" s="3"/>
      <c r="C843" s="3"/>
    </row>
    <row r="844" spans="2:3" x14ac:dyDescent="0.25">
      <c r="B844" s="3"/>
      <c r="C844" s="3"/>
    </row>
    <row r="845" spans="2:3" x14ac:dyDescent="0.25">
      <c r="B845" s="3"/>
      <c r="C845" s="3"/>
    </row>
    <row r="846" spans="2:3" x14ac:dyDescent="0.25">
      <c r="B846" s="3"/>
      <c r="C846" s="3"/>
    </row>
    <row r="847" spans="2:3" x14ac:dyDescent="0.25">
      <c r="B847" s="3"/>
      <c r="C847" s="3"/>
    </row>
    <row r="848" spans="2:3" x14ac:dyDescent="0.25">
      <c r="B848" s="3"/>
      <c r="C848" s="3"/>
    </row>
    <row r="849" spans="2:3" x14ac:dyDescent="0.25">
      <c r="B849" s="3"/>
      <c r="C849" s="3"/>
    </row>
    <row r="850" spans="2:3" x14ac:dyDescent="0.25">
      <c r="B850" s="3"/>
      <c r="C850" s="3"/>
    </row>
    <row r="851" spans="2:3" x14ac:dyDescent="0.25">
      <c r="B851" s="3"/>
      <c r="C851" s="3"/>
    </row>
    <row r="852" spans="2:3" x14ac:dyDescent="0.25">
      <c r="B852" s="3"/>
      <c r="C852" s="3"/>
    </row>
    <row r="853" spans="2:3" x14ac:dyDescent="0.25">
      <c r="B853" s="3"/>
      <c r="C853" s="3"/>
    </row>
    <row r="854" spans="2:3" x14ac:dyDescent="0.25">
      <c r="B854" s="3"/>
      <c r="C854" s="3"/>
    </row>
    <row r="855" spans="2:3" x14ac:dyDescent="0.25">
      <c r="B855" s="3"/>
      <c r="C855" s="3"/>
    </row>
    <row r="856" spans="2:3" x14ac:dyDescent="0.25">
      <c r="B856" s="3"/>
      <c r="C856" s="3"/>
    </row>
    <row r="857" spans="2:3" x14ac:dyDescent="0.25">
      <c r="B857" s="3"/>
      <c r="C857" s="3"/>
    </row>
    <row r="858" spans="2:3" x14ac:dyDescent="0.25">
      <c r="B858" s="3"/>
      <c r="C858" s="3"/>
    </row>
    <row r="859" spans="2:3" x14ac:dyDescent="0.25">
      <c r="B859" s="3"/>
      <c r="C859" s="3"/>
    </row>
    <row r="860" spans="2:3" x14ac:dyDescent="0.25">
      <c r="B860" s="3"/>
      <c r="C860" s="3"/>
    </row>
    <row r="861" spans="2:3" x14ac:dyDescent="0.25">
      <c r="B861" s="3"/>
      <c r="C861" s="3"/>
    </row>
    <row r="862" spans="2:3" x14ac:dyDescent="0.25">
      <c r="B862" s="3"/>
      <c r="C862" s="3"/>
    </row>
    <row r="863" spans="2:3" x14ac:dyDescent="0.25">
      <c r="B863" s="3"/>
      <c r="C863" s="3"/>
    </row>
    <row r="864" spans="2:3" x14ac:dyDescent="0.25">
      <c r="B864" s="3"/>
      <c r="C864" s="3"/>
    </row>
    <row r="865" spans="2:3" x14ac:dyDescent="0.25">
      <c r="B865" s="3"/>
      <c r="C865" s="3"/>
    </row>
    <row r="866" spans="2:3" x14ac:dyDescent="0.25">
      <c r="B866" s="3"/>
      <c r="C866" s="3"/>
    </row>
    <row r="867" spans="2:3" x14ac:dyDescent="0.25">
      <c r="B867" s="3"/>
      <c r="C867" s="3"/>
    </row>
    <row r="868" spans="2:3" x14ac:dyDescent="0.25">
      <c r="B868" s="3"/>
      <c r="C868" s="3"/>
    </row>
    <row r="869" spans="2:3" x14ac:dyDescent="0.25">
      <c r="B869" s="3"/>
      <c r="C869" s="3"/>
    </row>
    <row r="870" spans="2:3" x14ac:dyDescent="0.25">
      <c r="B870" s="3"/>
      <c r="C870" s="3"/>
    </row>
    <row r="871" spans="2:3" x14ac:dyDescent="0.25">
      <c r="B871" s="3"/>
      <c r="C871" s="3"/>
    </row>
    <row r="872" spans="2:3" x14ac:dyDescent="0.25">
      <c r="B872" s="3"/>
      <c r="C872" s="3"/>
    </row>
    <row r="873" spans="2:3" x14ac:dyDescent="0.25">
      <c r="B873" s="3"/>
      <c r="C873" s="3"/>
    </row>
    <row r="874" spans="2:3" x14ac:dyDescent="0.25">
      <c r="B874" s="3"/>
      <c r="C874" s="3"/>
    </row>
    <row r="875" spans="2:3" x14ac:dyDescent="0.25">
      <c r="B875" s="3"/>
      <c r="C875" s="3"/>
    </row>
    <row r="876" spans="2:3" x14ac:dyDescent="0.25">
      <c r="B876" s="3"/>
      <c r="C876" s="3"/>
    </row>
    <row r="877" spans="2:3" x14ac:dyDescent="0.25">
      <c r="B877" s="3"/>
      <c r="C877" s="3"/>
    </row>
    <row r="878" spans="2:3" x14ac:dyDescent="0.25">
      <c r="B878" s="3"/>
      <c r="C878" s="3"/>
    </row>
    <row r="879" spans="2:3" x14ac:dyDescent="0.25">
      <c r="B879" s="3"/>
      <c r="C879" s="3"/>
    </row>
    <row r="880" spans="2:3" x14ac:dyDescent="0.25">
      <c r="B880" s="3"/>
      <c r="C880" s="3"/>
    </row>
    <row r="881" spans="2:3" x14ac:dyDescent="0.25">
      <c r="B881" s="3"/>
      <c r="C881" s="3"/>
    </row>
    <row r="882" spans="2:3" x14ac:dyDescent="0.25">
      <c r="B882" s="3"/>
      <c r="C882" s="3"/>
    </row>
    <row r="883" spans="2:3" x14ac:dyDescent="0.25">
      <c r="B883" s="3"/>
      <c r="C883" s="3"/>
    </row>
    <row r="884" spans="2:3" x14ac:dyDescent="0.25">
      <c r="B884" s="3"/>
      <c r="C884" s="3"/>
    </row>
    <row r="885" spans="2:3" x14ac:dyDescent="0.25">
      <c r="B885" s="3"/>
      <c r="C885" s="3"/>
    </row>
    <row r="886" spans="2:3" x14ac:dyDescent="0.25">
      <c r="B886" s="3"/>
      <c r="C886" s="3"/>
    </row>
    <row r="887" spans="2:3" x14ac:dyDescent="0.25">
      <c r="B887" s="3"/>
      <c r="C887" s="3"/>
    </row>
    <row r="888" spans="2:3" x14ac:dyDescent="0.25">
      <c r="B888" s="3"/>
      <c r="C888" s="3"/>
    </row>
    <row r="889" spans="2:3" x14ac:dyDescent="0.25">
      <c r="B889" s="3"/>
      <c r="C889" s="3"/>
    </row>
    <row r="890" spans="2:3" x14ac:dyDescent="0.25">
      <c r="B890" s="3"/>
      <c r="C890" s="3"/>
    </row>
    <row r="891" spans="2:3" x14ac:dyDescent="0.25">
      <c r="B891" s="3"/>
      <c r="C891" s="3"/>
    </row>
    <row r="892" spans="2:3" x14ac:dyDescent="0.25">
      <c r="B892" s="3"/>
      <c r="C892" s="3"/>
    </row>
    <row r="893" spans="2:3" x14ac:dyDescent="0.25">
      <c r="B893" s="3"/>
      <c r="C893" s="3"/>
    </row>
    <row r="894" spans="2:3" x14ac:dyDescent="0.25">
      <c r="B894" s="3"/>
      <c r="C894" s="3"/>
    </row>
    <row r="895" spans="2:3" x14ac:dyDescent="0.25">
      <c r="B895" s="3"/>
      <c r="C895" s="3"/>
    </row>
    <row r="896" spans="2:3" x14ac:dyDescent="0.25">
      <c r="B896" s="3"/>
      <c r="C896" s="3"/>
    </row>
    <row r="897" spans="2:3" x14ac:dyDescent="0.25">
      <c r="B897" s="3"/>
      <c r="C897" s="3"/>
    </row>
    <row r="898" spans="2:3" x14ac:dyDescent="0.25">
      <c r="B898" s="3"/>
      <c r="C898" s="3"/>
    </row>
    <row r="899" spans="2:3" x14ac:dyDescent="0.25">
      <c r="B899" s="3"/>
      <c r="C899" s="3"/>
    </row>
    <row r="900" spans="2:3" x14ac:dyDescent="0.25">
      <c r="B900" s="3"/>
      <c r="C900" s="3"/>
    </row>
    <row r="901" spans="2:3" x14ac:dyDescent="0.25">
      <c r="B901" s="3"/>
      <c r="C901" s="3"/>
    </row>
    <row r="902" spans="2:3" x14ac:dyDescent="0.25">
      <c r="B902" s="3"/>
      <c r="C902" s="3"/>
    </row>
    <row r="903" spans="2:3" x14ac:dyDescent="0.25">
      <c r="B903" s="3"/>
      <c r="C903" s="3"/>
    </row>
    <row r="904" spans="2:3" x14ac:dyDescent="0.25">
      <c r="B904" s="3"/>
      <c r="C904" s="3"/>
    </row>
    <row r="905" spans="2:3" x14ac:dyDescent="0.25">
      <c r="B905" s="3"/>
      <c r="C905" s="3"/>
    </row>
    <row r="906" spans="2:3" x14ac:dyDescent="0.25">
      <c r="B906" s="3"/>
      <c r="C906" s="3"/>
    </row>
    <row r="907" spans="2:3" x14ac:dyDescent="0.25">
      <c r="B907" s="3"/>
      <c r="C907" s="3"/>
    </row>
    <row r="908" spans="2:3" x14ac:dyDescent="0.25">
      <c r="B908" s="3"/>
      <c r="C908" s="3"/>
    </row>
    <row r="909" spans="2:3" x14ac:dyDescent="0.25">
      <c r="B909" s="3"/>
      <c r="C909" s="3"/>
    </row>
    <row r="910" spans="2:3" x14ac:dyDescent="0.25">
      <c r="B910" s="3"/>
      <c r="C910" s="3"/>
    </row>
    <row r="911" spans="2:3" x14ac:dyDescent="0.25">
      <c r="B911" s="3"/>
      <c r="C911" s="3"/>
    </row>
    <row r="912" spans="2:3" x14ac:dyDescent="0.25">
      <c r="B912" s="3"/>
      <c r="C912" s="3"/>
    </row>
    <row r="913" spans="2:3" x14ac:dyDescent="0.25">
      <c r="B913" s="3"/>
      <c r="C913" s="3"/>
    </row>
    <row r="914" spans="2:3" x14ac:dyDescent="0.25">
      <c r="B914" s="3"/>
      <c r="C914" s="3"/>
    </row>
    <row r="915" spans="2:3" x14ac:dyDescent="0.25">
      <c r="B915" s="3"/>
      <c r="C915" s="3"/>
    </row>
    <row r="916" spans="2:3" x14ac:dyDescent="0.25">
      <c r="B916" s="3"/>
      <c r="C916" s="3"/>
    </row>
    <row r="917" spans="2:3" x14ac:dyDescent="0.25">
      <c r="B917" s="3"/>
      <c r="C917" s="3"/>
    </row>
    <row r="918" spans="2:3" x14ac:dyDescent="0.25">
      <c r="B918" s="3"/>
      <c r="C918" s="3"/>
    </row>
    <row r="919" spans="2:3" x14ac:dyDescent="0.25">
      <c r="B919" s="3"/>
      <c r="C919" s="3"/>
    </row>
    <row r="920" spans="2:3" x14ac:dyDescent="0.25">
      <c r="B920" s="3"/>
      <c r="C920" s="3"/>
    </row>
    <row r="921" spans="2:3" x14ac:dyDescent="0.25">
      <c r="B921" s="3"/>
      <c r="C921" s="3"/>
    </row>
    <row r="922" spans="2:3" x14ac:dyDescent="0.25">
      <c r="B922" s="3"/>
      <c r="C922" s="3"/>
    </row>
    <row r="923" spans="2:3" x14ac:dyDescent="0.25">
      <c r="B923" s="3"/>
      <c r="C923" s="3"/>
    </row>
    <row r="924" spans="2:3" x14ac:dyDescent="0.25">
      <c r="B924" s="3"/>
      <c r="C924" s="3"/>
    </row>
    <row r="925" spans="2:3" x14ac:dyDescent="0.25">
      <c r="B925" s="3"/>
      <c r="C925" s="3"/>
    </row>
    <row r="926" spans="2:3" x14ac:dyDescent="0.25">
      <c r="B926" s="3"/>
      <c r="C926" s="3"/>
    </row>
    <row r="927" spans="2:3" x14ac:dyDescent="0.25">
      <c r="B927" s="3"/>
      <c r="C927" s="3"/>
    </row>
    <row r="928" spans="2:3" x14ac:dyDescent="0.25">
      <c r="B928" s="3"/>
      <c r="C928" s="3"/>
    </row>
    <row r="929" spans="2:3" x14ac:dyDescent="0.25">
      <c r="B929" s="3"/>
      <c r="C929" s="3"/>
    </row>
    <row r="930" spans="2:3" x14ac:dyDescent="0.25">
      <c r="B930" s="3"/>
      <c r="C930" s="3"/>
    </row>
    <row r="931" spans="2:3" x14ac:dyDescent="0.25">
      <c r="B931" s="3"/>
      <c r="C931" s="3"/>
    </row>
    <row r="932" spans="2:3" x14ac:dyDescent="0.25">
      <c r="B932" s="3"/>
      <c r="C932" s="3"/>
    </row>
    <row r="933" spans="2:3" x14ac:dyDescent="0.25">
      <c r="B933" s="3"/>
      <c r="C933" s="3"/>
    </row>
    <row r="934" spans="2:3" x14ac:dyDescent="0.25">
      <c r="B934" s="3"/>
      <c r="C934" s="3"/>
    </row>
    <row r="935" spans="2:3" x14ac:dyDescent="0.25">
      <c r="B935" s="3"/>
      <c r="C935" s="3"/>
    </row>
    <row r="936" spans="2:3" x14ac:dyDescent="0.25">
      <c r="B936" s="3"/>
      <c r="C936" s="3"/>
    </row>
    <row r="937" spans="2:3" x14ac:dyDescent="0.25">
      <c r="B937" s="3"/>
      <c r="C937" s="3"/>
    </row>
    <row r="938" spans="2:3" x14ac:dyDescent="0.25">
      <c r="B938" s="3"/>
      <c r="C938" s="3"/>
    </row>
    <row r="939" spans="2:3" x14ac:dyDescent="0.25">
      <c r="B939" s="3"/>
      <c r="C939" s="3"/>
    </row>
    <row r="940" spans="2:3" x14ac:dyDescent="0.25">
      <c r="B940" s="3"/>
      <c r="C940" s="3"/>
    </row>
    <row r="941" spans="2:3" x14ac:dyDescent="0.25">
      <c r="B941" s="3"/>
      <c r="C941" s="3"/>
    </row>
    <row r="942" spans="2:3" x14ac:dyDescent="0.25">
      <c r="B942" s="3"/>
      <c r="C942" s="3"/>
    </row>
    <row r="943" spans="2:3" x14ac:dyDescent="0.25">
      <c r="B943" s="3"/>
      <c r="C943" s="3"/>
    </row>
    <row r="944" spans="2:3" x14ac:dyDescent="0.25">
      <c r="B944" s="3"/>
      <c r="C944" s="3"/>
    </row>
    <row r="945" spans="2:3" x14ac:dyDescent="0.25">
      <c r="B945" s="3"/>
      <c r="C945" s="3"/>
    </row>
    <row r="946" spans="2:3" x14ac:dyDescent="0.25">
      <c r="B946" s="3"/>
      <c r="C946" s="3"/>
    </row>
    <row r="947" spans="2:3" x14ac:dyDescent="0.25">
      <c r="B947" s="3"/>
      <c r="C947" s="3"/>
    </row>
    <row r="948" spans="2:3" x14ac:dyDescent="0.25">
      <c r="B948" s="3"/>
      <c r="C948" s="3"/>
    </row>
    <row r="949" spans="2:3" x14ac:dyDescent="0.25">
      <c r="B949" s="3"/>
      <c r="C949" s="3"/>
    </row>
    <row r="950" spans="2:3" x14ac:dyDescent="0.25">
      <c r="B950" s="3"/>
      <c r="C950" s="3"/>
    </row>
    <row r="951" spans="2:3" x14ac:dyDescent="0.25">
      <c r="B951" s="3"/>
      <c r="C951" s="3"/>
    </row>
    <row r="952" spans="2:3" x14ac:dyDescent="0.25">
      <c r="B952" s="3"/>
      <c r="C952" s="3"/>
    </row>
    <row r="953" spans="2:3" x14ac:dyDescent="0.25">
      <c r="B953" s="3"/>
      <c r="C953" s="3"/>
    </row>
    <row r="954" spans="2:3" x14ac:dyDescent="0.25">
      <c r="B954" s="3"/>
      <c r="C954" s="3"/>
    </row>
    <row r="955" spans="2:3" x14ac:dyDescent="0.25">
      <c r="B955" s="3"/>
      <c r="C955" s="3"/>
    </row>
    <row r="956" spans="2:3" x14ac:dyDescent="0.25">
      <c r="B956" s="3"/>
      <c r="C956" s="3"/>
    </row>
    <row r="957" spans="2:3" x14ac:dyDescent="0.25">
      <c r="B957" s="3"/>
      <c r="C957" s="3"/>
    </row>
    <row r="958" spans="2:3" x14ac:dyDescent="0.25">
      <c r="B958" s="3"/>
      <c r="C958" s="3"/>
    </row>
    <row r="959" spans="2:3" x14ac:dyDescent="0.25">
      <c r="B959" s="3"/>
      <c r="C959" s="3"/>
    </row>
    <row r="960" spans="2:3" x14ac:dyDescent="0.25">
      <c r="B960" s="3"/>
      <c r="C960" s="3"/>
    </row>
    <row r="961" spans="2:3" x14ac:dyDescent="0.25">
      <c r="B961" s="3"/>
      <c r="C961" s="3"/>
    </row>
    <row r="962" spans="2:3" x14ac:dyDescent="0.25">
      <c r="B962" s="3"/>
      <c r="C962" s="3"/>
    </row>
    <row r="963" spans="2:3" x14ac:dyDescent="0.25">
      <c r="B963" s="3"/>
      <c r="C963" s="3"/>
    </row>
    <row r="964" spans="2:3" x14ac:dyDescent="0.25">
      <c r="B964" s="3"/>
      <c r="C964" s="3"/>
    </row>
    <row r="965" spans="2:3" x14ac:dyDescent="0.25">
      <c r="B965" s="3"/>
      <c r="C965" s="3"/>
    </row>
    <row r="966" spans="2:3" x14ac:dyDescent="0.25">
      <c r="B966" s="3"/>
      <c r="C966" s="3"/>
    </row>
    <row r="967" spans="2:3" x14ac:dyDescent="0.25">
      <c r="B967" s="3"/>
      <c r="C967" s="3"/>
    </row>
    <row r="968" spans="2:3" x14ac:dyDescent="0.25">
      <c r="B968" s="3"/>
      <c r="C968" s="3"/>
    </row>
    <row r="969" spans="2:3" x14ac:dyDescent="0.25">
      <c r="B969" s="3"/>
      <c r="C969" s="3"/>
    </row>
    <row r="970" spans="2:3" x14ac:dyDescent="0.25">
      <c r="B970" s="3"/>
      <c r="C970" s="3"/>
    </row>
    <row r="971" spans="2:3" x14ac:dyDescent="0.25">
      <c r="B971" s="3"/>
      <c r="C971" s="3"/>
    </row>
    <row r="972" spans="2:3" x14ac:dyDescent="0.25">
      <c r="B972" s="3"/>
      <c r="C972" s="3"/>
    </row>
    <row r="973" spans="2:3" x14ac:dyDescent="0.25">
      <c r="B973" s="3"/>
      <c r="C973" s="3"/>
    </row>
    <row r="974" spans="2:3" x14ac:dyDescent="0.25">
      <c r="B974" s="3"/>
      <c r="C974" s="3"/>
    </row>
    <row r="975" spans="2:3" x14ac:dyDescent="0.25">
      <c r="B975" s="3"/>
      <c r="C975" s="3"/>
    </row>
    <row r="976" spans="2:3" x14ac:dyDescent="0.25">
      <c r="B976" s="3"/>
      <c r="C976" s="3"/>
    </row>
    <row r="977" spans="2:3" x14ac:dyDescent="0.25">
      <c r="B977" s="3"/>
      <c r="C977" s="3"/>
    </row>
    <row r="978" spans="2:3" x14ac:dyDescent="0.25">
      <c r="B978" s="3"/>
      <c r="C978" s="3"/>
    </row>
    <row r="979" spans="2:3" x14ac:dyDescent="0.25">
      <c r="B979" s="3"/>
      <c r="C979" s="3"/>
    </row>
    <row r="980" spans="2:3" x14ac:dyDescent="0.25">
      <c r="B980" s="3"/>
      <c r="C980" s="3"/>
    </row>
    <row r="981" spans="2:3" x14ac:dyDescent="0.25">
      <c r="B981" s="3"/>
      <c r="C981" s="3"/>
    </row>
    <row r="982" spans="2:3" x14ac:dyDescent="0.25">
      <c r="B982" s="3"/>
      <c r="C982" s="3"/>
    </row>
    <row r="983" spans="2:3" x14ac:dyDescent="0.25">
      <c r="B983" s="3"/>
      <c r="C983" s="3"/>
    </row>
    <row r="984" spans="2:3" x14ac:dyDescent="0.25">
      <c r="B984" s="3"/>
      <c r="C984" s="3"/>
    </row>
    <row r="985" spans="2:3" x14ac:dyDescent="0.25">
      <c r="B985" s="3"/>
      <c r="C985" s="3"/>
    </row>
    <row r="986" spans="2:3" x14ac:dyDescent="0.25">
      <c r="B986" s="3"/>
      <c r="C986" s="3"/>
    </row>
    <row r="987" spans="2:3" x14ac:dyDescent="0.25">
      <c r="B987" s="3"/>
      <c r="C987" s="3"/>
    </row>
    <row r="988" spans="2:3" x14ac:dyDescent="0.25">
      <c r="B988" s="3"/>
      <c r="C988" s="3"/>
    </row>
    <row r="989" spans="2:3" x14ac:dyDescent="0.25">
      <c r="B989" s="3"/>
      <c r="C989" s="3"/>
    </row>
    <row r="990" spans="2:3" x14ac:dyDescent="0.25">
      <c r="B990" s="3"/>
      <c r="C990" s="3"/>
    </row>
    <row r="991" spans="2:3" x14ac:dyDescent="0.25">
      <c r="B991" s="3"/>
      <c r="C991" s="3"/>
    </row>
    <row r="992" spans="2:3" x14ac:dyDescent="0.25">
      <c r="B992" s="3"/>
      <c r="C992" s="3"/>
    </row>
    <row r="993" spans="2:3" x14ac:dyDescent="0.25">
      <c r="B993" s="3"/>
      <c r="C993" s="3"/>
    </row>
    <row r="994" spans="2:3" x14ac:dyDescent="0.25">
      <c r="B994" s="3"/>
      <c r="C994" s="3"/>
    </row>
    <row r="995" spans="2:3" x14ac:dyDescent="0.25">
      <c r="B995" s="3"/>
      <c r="C995" s="3"/>
    </row>
    <row r="996" spans="2:3" x14ac:dyDescent="0.25">
      <c r="B996" s="3"/>
      <c r="C996" s="3"/>
    </row>
    <row r="997" spans="2:3" x14ac:dyDescent="0.25">
      <c r="B997" s="3"/>
      <c r="C997" s="3"/>
    </row>
    <row r="998" spans="2:3" x14ac:dyDescent="0.25">
      <c r="B998" s="3"/>
      <c r="C998" s="3"/>
    </row>
    <row r="999" spans="2:3" x14ac:dyDescent="0.25">
      <c r="B999" s="3"/>
      <c r="C999" s="3"/>
    </row>
    <row r="1000" spans="2:3" x14ac:dyDescent="0.25">
      <c r="B1000" s="3"/>
      <c r="C1000" s="3"/>
    </row>
    <row r="1001" spans="2:3" x14ac:dyDescent="0.25">
      <c r="B1001" s="3"/>
      <c r="C1001" s="3"/>
    </row>
    <row r="1002" spans="2:3" x14ac:dyDescent="0.25">
      <c r="B1002" s="3"/>
      <c r="C1002" s="3"/>
    </row>
    <row r="1003" spans="2:3" x14ac:dyDescent="0.25">
      <c r="B1003" s="3"/>
      <c r="C1003" s="3"/>
    </row>
    <row r="1004" spans="2:3" x14ac:dyDescent="0.25">
      <c r="B1004" s="3"/>
      <c r="C1004" s="3"/>
    </row>
    <row r="1005" spans="2:3" x14ac:dyDescent="0.25">
      <c r="B1005" s="3"/>
      <c r="C1005" s="3"/>
    </row>
    <row r="1006" spans="2:3" x14ac:dyDescent="0.25">
      <c r="B1006" s="3"/>
      <c r="C1006" s="3"/>
    </row>
    <row r="1007" spans="2:3" x14ac:dyDescent="0.25">
      <c r="B1007" s="3"/>
      <c r="C1007" s="3"/>
    </row>
    <row r="1008" spans="2:3" x14ac:dyDescent="0.25">
      <c r="B1008" s="3"/>
      <c r="C1008" s="3"/>
    </row>
    <row r="1009" spans="2:3" x14ac:dyDescent="0.25">
      <c r="B1009" s="3"/>
      <c r="C1009" s="3"/>
    </row>
    <row r="1010" spans="2:3" x14ac:dyDescent="0.25">
      <c r="B1010" s="3"/>
      <c r="C1010" s="3"/>
    </row>
    <row r="1011" spans="2:3" x14ac:dyDescent="0.25">
      <c r="B1011" s="3"/>
      <c r="C1011" s="3"/>
    </row>
    <row r="1012" spans="2:3" x14ac:dyDescent="0.25">
      <c r="B1012" s="3"/>
      <c r="C1012" s="3"/>
    </row>
    <row r="1013" spans="2:3" x14ac:dyDescent="0.25">
      <c r="B1013" s="3"/>
      <c r="C1013" s="3"/>
    </row>
    <row r="1014" spans="2:3" x14ac:dyDescent="0.25">
      <c r="B1014" s="3"/>
      <c r="C1014" s="3"/>
    </row>
    <row r="1015" spans="2:3" x14ac:dyDescent="0.25">
      <c r="B1015" s="3"/>
      <c r="C1015" s="3"/>
    </row>
    <row r="1016" spans="2:3" x14ac:dyDescent="0.25">
      <c r="B1016" s="3"/>
      <c r="C1016" s="3"/>
    </row>
    <row r="1017" spans="2:3" x14ac:dyDescent="0.25">
      <c r="B1017" s="3"/>
      <c r="C1017" s="3"/>
    </row>
    <row r="1018" spans="2:3" x14ac:dyDescent="0.25">
      <c r="B1018" s="3"/>
      <c r="C1018" s="3"/>
    </row>
    <row r="1019" spans="2:3" x14ac:dyDescent="0.25">
      <c r="B1019" s="3"/>
      <c r="C1019" s="3"/>
    </row>
    <row r="1020" spans="2:3" x14ac:dyDescent="0.25">
      <c r="B1020" s="3"/>
      <c r="C1020" s="3"/>
    </row>
    <row r="1021" spans="2:3" x14ac:dyDescent="0.25">
      <c r="B1021" s="3"/>
      <c r="C1021" s="3"/>
    </row>
    <row r="1022" spans="2:3" x14ac:dyDescent="0.25">
      <c r="B1022" s="3"/>
      <c r="C1022" s="3"/>
    </row>
    <row r="1023" spans="2:3" x14ac:dyDescent="0.25">
      <c r="B1023" s="3"/>
      <c r="C1023" s="3"/>
    </row>
    <row r="1024" spans="2:3" x14ac:dyDescent="0.25">
      <c r="B1024" s="3"/>
      <c r="C1024" s="3"/>
    </row>
    <row r="1025" spans="2:3" x14ac:dyDescent="0.25">
      <c r="B1025" s="3"/>
      <c r="C1025" s="3"/>
    </row>
    <row r="1026" spans="2:3" x14ac:dyDescent="0.25">
      <c r="B1026" s="3"/>
      <c r="C1026" s="3"/>
    </row>
    <row r="1027" spans="2:3" x14ac:dyDescent="0.25">
      <c r="B1027" s="3"/>
      <c r="C1027" s="3"/>
    </row>
    <row r="1028" spans="2:3" x14ac:dyDescent="0.25">
      <c r="B1028" s="3"/>
      <c r="C1028" s="3"/>
    </row>
    <row r="1029" spans="2:3" x14ac:dyDescent="0.25">
      <c r="B1029" s="3"/>
      <c r="C1029" s="3"/>
    </row>
    <row r="1030" spans="2:3" x14ac:dyDescent="0.25">
      <c r="B1030" s="3"/>
      <c r="C1030" s="3"/>
    </row>
    <row r="1031" spans="2:3" x14ac:dyDescent="0.25">
      <c r="B1031" s="3"/>
      <c r="C1031" s="3"/>
    </row>
    <row r="1032" spans="2:3" x14ac:dyDescent="0.25">
      <c r="B1032" s="3"/>
      <c r="C1032" s="3"/>
    </row>
    <row r="1033" spans="2:3" x14ac:dyDescent="0.25">
      <c r="B1033" s="3"/>
      <c r="C1033" s="3"/>
    </row>
    <row r="1034" spans="2:3" x14ac:dyDescent="0.25">
      <c r="B1034" s="3"/>
      <c r="C1034" s="3"/>
    </row>
    <row r="1035" spans="2:3" x14ac:dyDescent="0.25">
      <c r="B1035" s="3"/>
      <c r="C1035" s="3"/>
    </row>
    <row r="1036" spans="2:3" x14ac:dyDescent="0.25">
      <c r="B1036" s="3"/>
      <c r="C1036" s="3"/>
    </row>
    <row r="1037" spans="2:3" x14ac:dyDescent="0.25">
      <c r="B1037" s="3"/>
      <c r="C1037" s="3"/>
    </row>
    <row r="1038" spans="2:3" x14ac:dyDescent="0.25">
      <c r="B1038" s="3"/>
      <c r="C1038" s="3"/>
    </row>
    <row r="1039" spans="2:3" x14ac:dyDescent="0.25">
      <c r="B1039" s="3"/>
      <c r="C1039" s="3"/>
    </row>
    <row r="1040" spans="2:3" x14ac:dyDescent="0.25">
      <c r="B1040" s="3"/>
      <c r="C1040" s="3"/>
    </row>
    <row r="1041" spans="2:3" x14ac:dyDescent="0.25">
      <c r="B1041" s="3"/>
      <c r="C1041" s="3"/>
    </row>
    <row r="1042" spans="2:3" x14ac:dyDescent="0.25">
      <c r="B1042" s="3"/>
      <c r="C1042" s="3"/>
    </row>
    <row r="1043" spans="2:3" x14ac:dyDescent="0.25">
      <c r="B1043" s="3"/>
      <c r="C1043" s="3"/>
    </row>
    <row r="1044" spans="2:3" x14ac:dyDescent="0.25">
      <c r="B1044" s="3"/>
      <c r="C1044" s="3"/>
    </row>
    <row r="1045" spans="2:3" x14ac:dyDescent="0.25">
      <c r="B1045" s="3"/>
      <c r="C1045" s="3"/>
    </row>
    <row r="1046" spans="2:3" x14ac:dyDescent="0.25">
      <c r="B1046" s="3"/>
      <c r="C1046" s="3"/>
    </row>
    <row r="1047" spans="2:3" x14ac:dyDescent="0.25">
      <c r="B1047" s="3"/>
      <c r="C1047" s="3"/>
    </row>
    <row r="1048" spans="2:3" x14ac:dyDescent="0.25">
      <c r="B1048" s="3"/>
      <c r="C1048" s="3"/>
    </row>
    <row r="1049" spans="2:3" x14ac:dyDescent="0.25">
      <c r="B1049" s="3"/>
      <c r="C1049" s="3"/>
    </row>
    <row r="1050" spans="2:3" x14ac:dyDescent="0.25">
      <c r="B1050" s="3"/>
      <c r="C1050" s="3"/>
    </row>
    <row r="1051" spans="2:3" x14ac:dyDescent="0.25">
      <c r="B1051" s="3"/>
      <c r="C1051" s="3"/>
    </row>
    <row r="1052" spans="2:3" x14ac:dyDescent="0.25">
      <c r="B1052" s="3"/>
      <c r="C1052" s="3"/>
    </row>
    <row r="1053" spans="2:3" x14ac:dyDescent="0.25">
      <c r="B1053" s="3"/>
      <c r="C1053" s="3"/>
    </row>
    <row r="1054" spans="2:3" x14ac:dyDescent="0.25">
      <c r="B1054" s="3"/>
      <c r="C1054" s="3"/>
    </row>
    <row r="1055" spans="2:3" x14ac:dyDescent="0.25">
      <c r="B1055" s="3"/>
      <c r="C1055" s="3"/>
    </row>
    <row r="1056" spans="2:3" x14ac:dyDescent="0.25">
      <c r="B1056" s="3"/>
      <c r="C1056" s="3"/>
    </row>
    <row r="1057" spans="2:3" x14ac:dyDescent="0.25">
      <c r="B1057" s="3"/>
      <c r="C1057" s="3"/>
    </row>
    <row r="1058" spans="2:3" x14ac:dyDescent="0.25">
      <c r="B1058" s="3"/>
      <c r="C1058" s="3"/>
    </row>
    <row r="1059" spans="2:3" x14ac:dyDescent="0.25">
      <c r="B1059" s="3"/>
      <c r="C1059" s="3"/>
    </row>
    <row r="1060" spans="2:3" x14ac:dyDescent="0.25">
      <c r="B1060" s="3"/>
      <c r="C1060" s="3"/>
    </row>
    <row r="1061" spans="2:3" x14ac:dyDescent="0.25">
      <c r="B1061" s="3"/>
      <c r="C1061" s="3"/>
    </row>
    <row r="1062" spans="2:3" x14ac:dyDescent="0.25">
      <c r="B1062" s="3"/>
      <c r="C1062" s="3"/>
    </row>
    <row r="1063" spans="2:3" x14ac:dyDescent="0.25">
      <c r="B1063" s="3"/>
      <c r="C1063" s="3"/>
    </row>
    <row r="1064" spans="2:3" x14ac:dyDescent="0.25">
      <c r="B1064" s="3"/>
      <c r="C1064" s="3"/>
    </row>
    <row r="1065" spans="2:3" x14ac:dyDescent="0.25">
      <c r="B1065" s="3"/>
      <c r="C1065" s="3"/>
    </row>
    <row r="1066" spans="2:3" x14ac:dyDescent="0.25">
      <c r="B1066" s="3"/>
      <c r="C1066" s="3"/>
    </row>
    <row r="1067" spans="2:3" x14ac:dyDescent="0.25">
      <c r="B1067" s="3"/>
      <c r="C1067" s="3"/>
    </row>
    <row r="1068" spans="2:3" x14ac:dyDescent="0.25">
      <c r="B1068" s="3"/>
      <c r="C1068" s="3"/>
    </row>
    <row r="1069" spans="2:3" x14ac:dyDescent="0.25">
      <c r="B1069" s="3"/>
      <c r="C1069" s="3"/>
    </row>
    <row r="1070" spans="2:3" x14ac:dyDescent="0.25">
      <c r="B1070" s="3"/>
      <c r="C1070" s="3"/>
    </row>
    <row r="1071" spans="2:3" x14ac:dyDescent="0.25">
      <c r="B1071" s="3"/>
      <c r="C1071" s="3"/>
    </row>
    <row r="1072" spans="2:3" x14ac:dyDescent="0.25">
      <c r="B1072" s="3"/>
      <c r="C1072" s="3"/>
    </row>
    <row r="1073" spans="2:3" x14ac:dyDescent="0.25">
      <c r="B1073" s="3"/>
      <c r="C1073" s="3"/>
    </row>
    <row r="1074" spans="2:3" x14ac:dyDescent="0.25">
      <c r="B1074" s="3"/>
      <c r="C1074" s="3"/>
    </row>
    <row r="1075" spans="2:3" x14ac:dyDescent="0.25">
      <c r="B1075" s="3"/>
      <c r="C1075" s="3"/>
    </row>
    <row r="1076" spans="2:3" x14ac:dyDescent="0.25">
      <c r="B1076" s="3"/>
      <c r="C1076" s="3"/>
    </row>
    <row r="1077" spans="2:3" x14ac:dyDescent="0.25">
      <c r="B1077" s="3"/>
      <c r="C1077" s="3"/>
    </row>
    <row r="1078" spans="2:3" x14ac:dyDescent="0.25">
      <c r="B1078" s="3"/>
      <c r="C1078" s="3"/>
    </row>
    <row r="1079" spans="2:3" x14ac:dyDescent="0.25">
      <c r="B1079" s="3"/>
      <c r="C1079" s="3"/>
    </row>
    <row r="1080" spans="2:3" x14ac:dyDescent="0.25">
      <c r="B1080" s="3"/>
      <c r="C1080" s="3"/>
    </row>
    <row r="1081" spans="2:3" x14ac:dyDescent="0.25">
      <c r="B1081" s="3"/>
      <c r="C1081" s="3"/>
    </row>
    <row r="1082" spans="2:3" x14ac:dyDescent="0.25">
      <c r="B1082" s="3"/>
      <c r="C1082" s="3"/>
    </row>
    <row r="1083" spans="2:3" x14ac:dyDescent="0.25">
      <c r="B1083" s="3"/>
      <c r="C1083" s="3"/>
    </row>
    <row r="1084" spans="2:3" x14ac:dyDescent="0.25">
      <c r="B1084" s="3"/>
      <c r="C1084" s="3"/>
    </row>
    <row r="1085" spans="2:3" x14ac:dyDescent="0.25">
      <c r="B1085" s="3"/>
      <c r="C1085" s="3"/>
    </row>
    <row r="1086" spans="2:3" x14ac:dyDescent="0.25">
      <c r="B1086" s="3"/>
      <c r="C1086" s="3"/>
    </row>
    <row r="1087" spans="2:3" x14ac:dyDescent="0.25">
      <c r="B1087" s="3"/>
      <c r="C1087" s="3"/>
    </row>
    <row r="1088" spans="2:3" x14ac:dyDescent="0.25">
      <c r="B1088" s="3"/>
      <c r="C1088" s="3"/>
    </row>
    <row r="1089" spans="2:3" x14ac:dyDescent="0.25">
      <c r="B1089" s="3"/>
      <c r="C1089" s="3"/>
    </row>
    <row r="1090" spans="2:3" x14ac:dyDescent="0.25">
      <c r="B1090" s="3"/>
      <c r="C1090" s="3"/>
    </row>
    <row r="1091" spans="2:3" x14ac:dyDescent="0.25">
      <c r="B1091" s="3"/>
      <c r="C1091" s="3"/>
    </row>
    <row r="1092" spans="2:3" x14ac:dyDescent="0.25">
      <c r="B1092" s="3"/>
      <c r="C1092" s="3"/>
    </row>
    <row r="1093" spans="2:3" x14ac:dyDescent="0.25">
      <c r="B1093" s="3"/>
      <c r="C1093" s="3"/>
    </row>
    <row r="1094" spans="2:3" x14ac:dyDescent="0.25">
      <c r="B1094" s="3"/>
      <c r="C1094" s="3"/>
    </row>
    <row r="1095" spans="2:3" x14ac:dyDescent="0.25">
      <c r="B1095" s="3"/>
      <c r="C1095" s="3"/>
    </row>
    <row r="1096" spans="2:3" x14ac:dyDescent="0.25">
      <c r="B1096" s="3"/>
      <c r="C1096" s="3"/>
    </row>
    <row r="1097" spans="2:3" x14ac:dyDescent="0.25">
      <c r="B1097" s="3"/>
      <c r="C1097" s="3"/>
    </row>
    <row r="1098" spans="2:3" x14ac:dyDescent="0.25">
      <c r="B1098" s="3"/>
      <c r="C1098" s="3"/>
    </row>
    <row r="1099" spans="2:3" x14ac:dyDescent="0.25">
      <c r="B1099" s="3"/>
      <c r="C1099" s="3"/>
    </row>
    <row r="1100" spans="2:3" x14ac:dyDescent="0.25">
      <c r="B1100" s="3"/>
      <c r="C1100" s="3"/>
    </row>
    <row r="1101" spans="2:3" x14ac:dyDescent="0.25">
      <c r="B1101" s="3"/>
      <c r="C1101" s="3"/>
    </row>
    <row r="1102" spans="2:3" x14ac:dyDescent="0.25">
      <c r="B1102" s="3"/>
      <c r="C1102" s="3"/>
    </row>
    <row r="1103" spans="2:3" x14ac:dyDescent="0.25">
      <c r="B1103" s="3"/>
      <c r="C1103" s="3"/>
    </row>
    <row r="1104" spans="2:3" x14ac:dyDescent="0.25">
      <c r="B1104" s="3"/>
      <c r="C1104" s="3"/>
    </row>
    <row r="1105" spans="2:3" x14ac:dyDescent="0.25">
      <c r="B1105" s="3"/>
      <c r="C1105" s="3"/>
    </row>
    <row r="1106" spans="2:3" x14ac:dyDescent="0.25">
      <c r="B1106" s="3"/>
      <c r="C1106" s="3"/>
    </row>
    <row r="1107" spans="2:3" x14ac:dyDescent="0.25">
      <c r="B1107" s="3"/>
      <c r="C1107" s="3"/>
    </row>
    <row r="1108" spans="2:3" x14ac:dyDescent="0.25">
      <c r="B1108" s="3"/>
      <c r="C1108" s="3"/>
    </row>
    <row r="1109" spans="2:3" x14ac:dyDescent="0.25">
      <c r="B1109" s="3"/>
      <c r="C1109" s="3"/>
    </row>
    <row r="1110" spans="2:3" x14ac:dyDescent="0.25">
      <c r="B1110" s="3"/>
      <c r="C1110" s="3"/>
    </row>
    <row r="1111" spans="2:3" x14ac:dyDescent="0.25">
      <c r="B1111" s="3"/>
      <c r="C1111" s="3"/>
    </row>
    <row r="1112" spans="2:3" x14ac:dyDescent="0.25">
      <c r="B1112" s="3"/>
      <c r="C1112" s="3"/>
    </row>
    <row r="1113" spans="2:3" x14ac:dyDescent="0.25">
      <c r="B1113" s="3"/>
      <c r="C1113" s="3"/>
    </row>
    <row r="1114" spans="2:3" x14ac:dyDescent="0.25">
      <c r="B1114" s="3"/>
      <c r="C1114" s="3"/>
    </row>
    <row r="1115" spans="2:3" x14ac:dyDescent="0.25">
      <c r="B1115" s="3"/>
      <c r="C1115" s="3"/>
    </row>
    <row r="1116" spans="2:3" x14ac:dyDescent="0.25">
      <c r="B1116" s="3"/>
      <c r="C1116" s="3"/>
    </row>
    <row r="1117" spans="2:3" x14ac:dyDescent="0.25">
      <c r="B1117" s="3"/>
      <c r="C1117" s="3"/>
    </row>
    <row r="1118" spans="2:3" x14ac:dyDescent="0.25">
      <c r="B1118" s="3"/>
      <c r="C1118" s="3"/>
    </row>
    <row r="1119" spans="2:3" x14ac:dyDescent="0.25">
      <c r="B1119" s="3"/>
      <c r="C1119" s="3"/>
    </row>
    <row r="1120" spans="2:3" x14ac:dyDescent="0.25">
      <c r="B1120" s="3"/>
      <c r="C1120" s="3"/>
    </row>
    <row r="1121" spans="2:3" x14ac:dyDescent="0.25">
      <c r="B1121" s="3"/>
      <c r="C1121" s="3"/>
    </row>
    <row r="1122" spans="2:3" x14ac:dyDescent="0.25">
      <c r="B1122" s="3"/>
      <c r="C1122" s="3"/>
    </row>
    <row r="1123" spans="2:3" x14ac:dyDescent="0.25">
      <c r="B1123" s="3"/>
      <c r="C1123" s="3"/>
    </row>
    <row r="1124" spans="2:3" x14ac:dyDescent="0.25">
      <c r="B1124" s="3"/>
      <c r="C1124" s="3"/>
    </row>
    <row r="1125" spans="2:3" x14ac:dyDescent="0.25">
      <c r="B1125" s="3"/>
      <c r="C1125" s="3"/>
    </row>
    <row r="1126" spans="2:3" x14ac:dyDescent="0.25">
      <c r="B1126" s="3"/>
      <c r="C1126" s="3"/>
    </row>
    <row r="1127" spans="2:3" x14ac:dyDescent="0.25">
      <c r="B1127" s="3"/>
      <c r="C1127" s="3"/>
    </row>
    <row r="1128" spans="2:3" x14ac:dyDescent="0.25">
      <c r="B1128" s="3"/>
      <c r="C1128" s="3"/>
    </row>
    <row r="1129" spans="2:3" x14ac:dyDescent="0.25">
      <c r="B1129" s="3"/>
      <c r="C1129" s="3"/>
    </row>
    <row r="1130" spans="2:3" x14ac:dyDescent="0.25">
      <c r="B1130" s="3"/>
      <c r="C1130" s="3"/>
    </row>
    <row r="1131" spans="2:3" x14ac:dyDescent="0.25">
      <c r="B1131" s="3"/>
      <c r="C1131" s="3"/>
    </row>
    <row r="1132" spans="2:3" x14ac:dyDescent="0.25">
      <c r="B1132" s="3"/>
      <c r="C1132" s="3"/>
    </row>
    <row r="1133" spans="2:3" x14ac:dyDescent="0.25">
      <c r="B1133" s="3"/>
      <c r="C1133" s="3"/>
    </row>
    <row r="1134" spans="2:3" x14ac:dyDescent="0.25">
      <c r="B1134" s="3"/>
      <c r="C1134" s="3"/>
    </row>
    <row r="1135" spans="2:3" x14ac:dyDescent="0.25">
      <c r="B1135" s="3"/>
      <c r="C1135" s="3"/>
    </row>
    <row r="1136" spans="2:3" x14ac:dyDescent="0.25">
      <c r="B1136" s="3"/>
      <c r="C1136" s="3"/>
    </row>
    <row r="1137" spans="2:3" x14ac:dyDescent="0.25">
      <c r="B1137" s="3"/>
      <c r="C1137" s="3"/>
    </row>
    <row r="1138" spans="2:3" x14ac:dyDescent="0.25">
      <c r="B1138" s="3"/>
      <c r="C1138" s="3"/>
    </row>
    <row r="1139" spans="2:3" x14ac:dyDescent="0.25">
      <c r="B1139" s="3"/>
      <c r="C1139" s="3"/>
    </row>
    <row r="1140" spans="2:3" x14ac:dyDescent="0.25">
      <c r="B1140" s="3"/>
      <c r="C1140" s="3"/>
    </row>
    <row r="1141" spans="2:3" x14ac:dyDescent="0.25">
      <c r="B1141" s="3"/>
      <c r="C1141" s="3"/>
    </row>
    <row r="1142" spans="2:3" x14ac:dyDescent="0.25">
      <c r="B1142" s="3"/>
      <c r="C1142" s="3"/>
    </row>
    <row r="1143" spans="2:3" x14ac:dyDescent="0.25">
      <c r="B1143" s="3"/>
      <c r="C1143" s="3"/>
    </row>
    <row r="1144" spans="2:3" x14ac:dyDescent="0.25">
      <c r="B1144" s="3"/>
      <c r="C1144" s="3"/>
    </row>
    <row r="1145" spans="2:3" x14ac:dyDescent="0.25">
      <c r="B1145" s="3"/>
      <c r="C1145" s="3"/>
    </row>
    <row r="1146" spans="2:3" x14ac:dyDescent="0.25">
      <c r="B1146" s="3"/>
      <c r="C1146" s="3"/>
    </row>
    <row r="1147" spans="2:3" x14ac:dyDescent="0.25">
      <c r="B1147" s="3"/>
      <c r="C1147" s="3"/>
    </row>
    <row r="1148" spans="2:3" x14ac:dyDescent="0.25">
      <c r="B1148" s="3"/>
      <c r="C1148" s="3"/>
    </row>
    <row r="1149" spans="2:3" x14ac:dyDescent="0.25">
      <c r="B1149" s="3"/>
      <c r="C1149" s="3"/>
    </row>
    <row r="1150" spans="2:3" x14ac:dyDescent="0.25">
      <c r="B1150" s="3"/>
      <c r="C1150" s="3"/>
    </row>
    <row r="1151" spans="2:3" x14ac:dyDescent="0.25">
      <c r="B1151" s="3"/>
      <c r="C1151" s="3"/>
    </row>
    <row r="1152" spans="2:3" x14ac:dyDescent="0.25">
      <c r="B1152" s="3"/>
      <c r="C1152" s="3"/>
    </row>
    <row r="1153" spans="2:3" x14ac:dyDescent="0.25">
      <c r="B1153" s="3"/>
      <c r="C1153" s="3"/>
    </row>
    <row r="1154" spans="2:3" x14ac:dyDescent="0.25">
      <c r="B1154" s="3"/>
      <c r="C1154" s="3"/>
    </row>
    <row r="1155" spans="2:3" x14ac:dyDescent="0.25">
      <c r="B1155" s="3"/>
      <c r="C1155" s="3"/>
    </row>
    <row r="1156" spans="2:3" x14ac:dyDescent="0.25">
      <c r="B1156" s="3"/>
      <c r="C1156" s="3"/>
    </row>
    <row r="1157" spans="2:3" x14ac:dyDescent="0.25">
      <c r="B1157" s="3"/>
      <c r="C1157" s="3"/>
    </row>
    <row r="1158" spans="2:3" x14ac:dyDescent="0.25">
      <c r="B1158" s="3"/>
      <c r="C1158" s="3"/>
    </row>
    <row r="1159" spans="2:3" x14ac:dyDescent="0.25">
      <c r="B1159" s="3"/>
      <c r="C1159" s="3"/>
    </row>
    <row r="1160" spans="2:3" x14ac:dyDescent="0.25">
      <c r="B1160" s="3"/>
      <c r="C1160" s="3"/>
    </row>
    <row r="1161" spans="2:3" x14ac:dyDescent="0.25">
      <c r="B1161" s="3"/>
      <c r="C1161" s="3"/>
    </row>
    <row r="1162" spans="2:3" x14ac:dyDescent="0.25">
      <c r="B1162" s="3"/>
      <c r="C1162" s="3"/>
    </row>
    <row r="1163" spans="2:3" x14ac:dyDescent="0.25">
      <c r="B1163" s="3"/>
      <c r="C1163" s="3"/>
    </row>
    <row r="1164" spans="2:3" x14ac:dyDescent="0.25">
      <c r="B1164" s="3"/>
      <c r="C1164" s="3"/>
    </row>
    <row r="1165" spans="2:3" x14ac:dyDescent="0.25">
      <c r="B1165" s="3"/>
      <c r="C1165" s="3"/>
    </row>
    <row r="1166" spans="2:3" x14ac:dyDescent="0.25">
      <c r="B1166" s="3"/>
      <c r="C1166" s="3"/>
    </row>
    <row r="1167" spans="2:3" x14ac:dyDescent="0.25">
      <c r="B1167" s="3"/>
      <c r="C1167" s="3"/>
    </row>
    <row r="1168" spans="2:3" x14ac:dyDescent="0.25">
      <c r="B1168" s="3"/>
      <c r="C1168" s="3"/>
    </row>
    <row r="1169" spans="2:3" x14ac:dyDescent="0.25">
      <c r="B1169" s="3"/>
      <c r="C1169" s="3"/>
    </row>
    <row r="1170" spans="2:3" x14ac:dyDescent="0.25">
      <c r="B1170" s="3"/>
      <c r="C1170" s="3"/>
    </row>
    <row r="1171" spans="2:3" x14ac:dyDescent="0.25">
      <c r="B1171" s="3"/>
      <c r="C1171" s="3"/>
    </row>
    <row r="1172" spans="2:3" x14ac:dyDescent="0.25">
      <c r="B1172" s="3"/>
      <c r="C1172" s="3"/>
    </row>
    <row r="1173" spans="2:3" x14ac:dyDescent="0.25">
      <c r="B1173" s="3"/>
      <c r="C1173" s="3"/>
    </row>
    <row r="1174" spans="2:3" x14ac:dyDescent="0.25">
      <c r="B1174" s="3"/>
      <c r="C1174" s="3"/>
    </row>
    <row r="1175" spans="2:3" x14ac:dyDescent="0.25">
      <c r="B1175" s="3"/>
      <c r="C1175" s="3"/>
    </row>
    <row r="1176" spans="2:3" x14ac:dyDescent="0.25">
      <c r="B1176" s="3"/>
      <c r="C1176" s="3"/>
    </row>
    <row r="1177" spans="2:3" x14ac:dyDescent="0.25">
      <c r="B1177" s="3"/>
      <c r="C1177" s="3"/>
    </row>
    <row r="1178" spans="2:3" x14ac:dyDescent="0.25">
      <c r="B1178" s="3"/>
      <c r="C1178" s="3"/>
    </row>
    <row r="1179" spans="2:3" x14ac:dyDescent="0.25">
      <c r="B1179" s="3"/>
      <c r="C1179" s="3"/>
    </row>
    <row r="1180" spans="2:3" x14ac:dyDescent="0.25">
      <c r="B1180" s="3"/>
      <c r="C1180" s="3"/>
    </row>
    <row r="1181" spans="2:3" x14ac:dyDescent="0.25">
      <c r="B1181" s="3"/>
      <c r="C1181" s="3"/>
    </row>
    <row r="1182" spans="2:3" x14ac:dyDescent="0.25">
      <c r="B1182" s="3"/>
      <c r="C1182" s="3"/>
    </row>
    <row r="1183" spans="2:3" x14ac:dyDescent="0.25">
      <c r="B1183" s="3"/>
      <c r="C1183" s="3"/>
    </row>
    <row r="1184" spans="2:3" x14ac:dyDescent="0.25">
      <c r="B1184" s="3"/>
      <c r="C1184" s="3"/>
    </row>
    <row r="1185" spans="2:3" x14ac:dyDescent="0.25">
      <c r="B1185" s="3"/>
      <c r="C1185" s="3"/>
    </row>
    <row r="1186" spans="2:3" x14ac:dyDescent="0.25">
      <c r="B1186" s="3"/>
      <c r="C1186" s="3"/>
    </row>
    <row r="1187" spans="2:3" x14ac:dyDescent="0.25">
      <c r="B1187" s="3"/>
      <c r="C1187" s="3"/>
    </row>
    <row r="1188" spans="2:3" x14ac:dyDescent="0.25">
      <c r="B1188" s="3"/>
      <c r="C1188" s="3"/>
    </row>
    <row r="1189" spans="2:3" x14ac:dyDescent="0.25">
      <c r="B1189" s="3"/>
      <c r="C1189" s="3"/>
    </row>
    <row r="1190" spans="2:3" x14ac:dyDescent="0.25">
      <c r="B1190" s="3"/>
      <c r="C1190" s="3"/>
    </row>
    <row r="1191" spans="2:3" x14ac:dyDescent="0.25">
      <c r="B1191" s="3"/>
      <c r="C1191" s="3"/>
    </row>
    <row r="1192" spans="2:3" x14ac:dyDescent="0.25">
      <c r="B1192" s="3"/>
      <c r="C1192" s="3"/>
    </row>
    <row r="1193" spans="2:3" x14ac:dyDescent="0.25">
      <c r="B1193" s="3"/>
      <c r="C1193" s="3"/>
    </row>
    <row r="1194" spans="2:3" x14ac:dyDescent="0.25">
      <c r="B1194" s="3"/>
      <c r="C1194" s="3"/>
    </row>
    <row r="1195" spans="2:3" x14ac:dyDescent="0.25">
      <c r="B1195" s="3"/>
      <c r="C1195" s="3"/>
    </row>
    <row r="1196" spans="2:3" x14ac:dyDescent="0.25">
      <c r="B1196" s="3"/>
      <c r="C1196" s="3"/>
    </row>
    <row r="1197" spans="2:3" x14ac:dyDescent="0.25">
      <c r="B1197" s="3"/>
      <c r="C1197" s="3"/>
    </row>
    <row r="1198" spans="2:3" x14ac:dyDescent="0.25">
      <c r="B1198" s="3"/>
      <c r="C1198" s="3"/>
    </row>
    <row r="1199" spans="2:3" x14ac:dyDescent="0.25">
      <c r="B1199" s="3"/>
      <c r="C1199" s="3"/>
    </row>
    <row r="1200" spans="2:3" x14ac:dyDescent="0.25">
      <c r="B1200" s="3"/>
      <c r="C1200" s="3"/>
    </row>
    <row r="1201" spans="2:3" x14ac:dyDescent="0.25">
      <c r="B1201" s="3"/>
      <c r="C1201" s="3"/>
    </row>
    <row r="1202" spans="2:3" x14ac:dyDescent="0.25">
      <c r="B1202" s="3"/>
      <c r="C1202" s="3"/>
    </row>
    <row r="1203" spans="2:3" x14ac:dyDescent="0.25">
      <c r="B1203" s="3"/>
      <c r="C1203" s="3"/>
    </row>
    <row r="1204" spans="2:3" x14ac:dyDescent="0.25">
      <c r="B1204" s="3"/>
      <c r="C1204" s="3"/>
    </row>
    <row r="1205" spans="2:3" x14ac:dyDescent="0.25">
      <c r="B1205" s="3"/>
      <c r="C1205" s="3"/>
    </row>
    <row r="1206" spans="2:3" x14ac:dyDescent="0.25">
      <c r="B1206" s="3"/>
      <c r="C1206" s="3"/>
    </row>
    <row r="1207" spans="2:3" x14ac:dyDescent="0.25">
      <c r="B1207" s="3"/>
      <c r="C1207" s="3"/>
    </row>
    <row r="1208" spans="2:3" x14ac:dyDescent="0.25">
      <c r="B1208" s="3"/>
      <c r="C1208" s="3"/>
    </row>
    <row r="1209" spans="2:3" x14ac:dyDescent="0.25">
      <c r="B1209" s="3"/>
      <c r="C1209" s="3"/>
    </row>
    <row r="1210" spans="2:3" x14ac:dyDescent="0.25">
      <c r="B1210" s="3"/>
      <c r="C1210" s="3"/>
    </row>
    <row r="1211" spans="2:3" x14ac:dyDescent="0.25">
      <c r="B1211" s="3"/>
      <c r="C1211" s="3"/>
    </row>
    <row r="1212" spans="2:3" x14ac:dyDescent="0.25">
      <c r="B1212" s="3"/>
      <c r="C1212" s="3"/>
    </row>
    <row r="1213" spans="2:3" x14ac:dyDescent="0.25">
      <c r="B1213" s="3"/>
      <c r="C1213" s="3"/>
    </row>
    <row r="1214" spans="2:3" x14ac:dyDescent="0.25">
      <c r="B1214" s="3"/>
      <c r="C1214" s="3"/>
    </row>
    <row r="1215" spans="2:3" x14ac:dyDescent="0.25">
      <c r="B1215" s="3"/>
      <c r="C1215" s="3"/>
    </row>
    <row r="1216" spans="2:3" x14ac:dyDescent="0.25">
      <c r="B1216" s="3"/>
      <c r="C1216" s="3"/>
    </row>
    <row r="1217" spans="2:3" x14ac:dyDescent="0.25">
      <c r="B1217" s="3"/>
      <c r="C1217" s="3"/>
    </row>
    <row r="1218" spans="2:3" x14ac:dyDescent="0.25">
      <c r="B1218" s="3"/>
      <c r="C1218" s="3"/>
    </row>
    <row r="1219" spans="2:3" x14ac:dyDescent="0.25">
      <c r="B1219" s="3"/>
      <c r="C1219" s="3"/>
    </row>
    <row r="1220" spans="2:3" x14ac:dyDescent="0.25">
      <c r="B1220" s="3"/>
      <c r="C1220" s="3"/>
    </row>
    <row r="1221" spans="2:3" x14ac:dyDescent="0.25">
      <c r="B1221" s="3"/>
      <c r="C1221" s="3"/>
    </row>
    <row r="1222" spans="2:3" x14ac:dyDescent="0.25">
      <c r="B1222" s="3"/>
      <c r="C1222" s="3"/>
    </row>
    <row r="1223" spans="2:3" x14ac:dyDescent="0.25">
      <c r="B1223" s="3"/>
      <c r="C1223" s="3"/>
    </row>
    <row r="1224" spans="2:3" x14ac:dyDescent="0.25">
      <c r="B1224" s="3"/>
      <c r="C1224" s="3"/>
    </row>
    <row r="1225" spans="2:3" x14ac:dyDescent="0.25">
      <c r="B1225" s="3"/>
      <c r="C1225" s="3"/>
    </row>
    <row r="1226" spans="2:3" x14ac:dyDescent="0.25">
      <c r="B1226" s="3"/>
      <c r="C1226" s="3"/>
    </row>
    <row r="1227" spans="2:3" x14ac:dyDescent="0.25">
      <c r="B1227" s="3"/>
      <c r="C1227" s="3"/>
    </row>
    <row r="1228" spans="2:3" x14ac:dyDescent="0.25">
      <c r="B1228" s="3"/>
      <c r="C1228" s="3"/>
    </row>
    <row r="1229" spans="2:3" x14ac:dyDescent="0.25">
      <c r="B1229" s="3"/>
      <c r="C1229" s="3"/>
    </row>
    <row r="1230" spans="2:3" x14ac:dyDescent="0.25">
      <c r="B1230" s="3"/>
      <c r="C1230" s="3"/>
    </row>
    <row r="1231" spans="2:3" x14ac:dyDescent="0.25">
      <c r="B1231" s="3"/>
      <c r="C1231" s="3"/>
    </row>
    <row r="1232" spans="2:3" x14ac:dyDescent="0.25">
      <c r="B1232" s="3"/>
      <c r="C1232" s="3"/>
    </row>
    <row r="1233" spans="2:3" x14ac:dyDescent="0.25">
      <c r="B1233" s="3"/>
      <c r="C1233" s="3"/>
    </row>
    <row r="1234" spans="2:3" x14ac:dyDescent="0.25">
      <c r="B1234" s="3"/>
      <c r="C1234" s="3"/>
    </row>
    <row r="1235" spans="2:3" x14ac:dyDescent="0.25">
      <c r="B1235" s="3"/>
      <c r="C1235" s="3"/>
    </row>
    <row r="1236" spans="2:3" x14ac:dyDescent="0.25">
      <c r="B1236" s="3"/>
      <c r="C1236" s="3"/>
    </row>
    <row r="1237" spans="2:3" x14ac:dyDescent="0.25">
      <c r="B1237" s="3"/>
      <c r="C1237" s="3"/>
    </row>
    <row r="1238" spans="2:3" x14ac:dyDescent="0.25">
      <c r="B1238" s="3"/>
      <c r="C1238" s="3"/>
    </row>
    <row r="1239" spans="2:3" x14ac:dyDescent="0.25">
      <c r="B1239" s="3"/>
      <c r="C1239" s="3"/>
    </row>
    <row r="1240" spans="2:3" x14ac:dyDescent="0.25">
      <c r="B1240" s="3"/>
      <c r="C1240" s="3"/>
    </row>
    <row r="1241" spans="2:3" x14ac:dyDescent="0.25">
      <c r="B1241" s="3"/>
      <c r="C1241" s="3"/>
    </row>
    <row r="1242" spans="2:3" x14ac:dyDescent="0.25">
      <c r="B1242" s="3"/>
      <c r="C1242" s="3"/>
    </row>
    <row r="1243" spans="2:3" x14ac:dyDescent="0.25">
      <c r="B1243" s="3"/>
      <c r="C1243" s="3"/>
    </row>
    <row r="1244" spans="2:3" x14ac:dyDescent="0.25">
      <c r="B1244" s="3"/>
      <c r="C1244" s="3"/>
    </row>
    <row r="1245" spans="2:3" x14ac:dyDescent="0.25">
      <c r="B1245" s="3"/>
      <c r="C1245" s="3"/>
    </row>
    <row r="1246" spans="2:3" x14ac:dyDescent="0.25">
      <c r="B1246" s="3"/>
      <c r="C1246" s="3"/>
    </row>
    <row r="1247" spans="2:3" x14ac:dyDescent="0.25">
      <c r="B1247" s="3"/>
      <c r="C1247" s="3"/>
    </row>
    <row r="1248" spans="2:3" x14ac:dyDescent="0.25">
      <c r="B1248" s="3"/>
      <c r="C1248" s="3"/>
    </row>
    <row r="1249" spans="2:3" x14ac:dyDescent="0.25">
      <c r="B1249" s="3"/>
      <c r="C1249" s="3"/>
    </row>
    <row r="1250" spans="2:3" x14ac:dyDescent="0.25">
      <c r="B1250" s="3"/>
      <c r="C1250" s="3"/>
    </row>
    <row r="1251" spans="2:3" x14ac:dyDescent="0.25">
      <c r="B1251" s="3"/>
      <c r="C1251" s="3"/>
    </row>
    <row r="1252" spans="2:3" x14ac:dyDescent="0.25">
      <c r="B1252" s="3"/>
      <c r="C1252" s="3"/>
    </row>
    <row r="1253" spans="2:3" x14ac:dyDescent="0.25">
      <c r="B1253" s="3"/>
      <c r="C1253" s="3"/>
    </row>
    <row r="1254" spans="2:3" x14ac:dyDescent="0.25">
      <c r="B1254" s="3"/>
      <c r="C1254" s="3"/>
    </row>
    <row r="1255" spans="2:3" x14ac:dyDescent="0.25">
      <c r="B1255" s="3"/>
      <c r="C1255" s="3"/>
    </row>
    <row r="1256" spans="2:3" x14ac:dyDescent="0.25">
      <c r="B1256" s="3"/>
      <c r="C1256" s="3"/>
    </row>
    <row r="1257" spans="2:3" x14ac:dyDescent="0.25">
      <c r="B1257" s="3"/>
      <c r="C1257" s="3"/>
    </row>
    <row r="1258" spans="2:3" x14ac:dyDescent="0.25">
      <c r="B1258" s="3"/>
      <c r="C1258" s="3"/>
    </row>
    <row r="1259" spans="2:3" x14ac:dyDescent="0.25">
      <c r="B1259" s="3"/>
      <c r="C1259" s="3"/>
    </row>
    <row r="1260" spans="2:3" x14ac:dyDescent="0.25">
      <c r="B1260" s="3"/>
      <c r="C1260" s="3"/>
    </row>
    <row r="1261" spans="2:3" x14ac:dyDescent="0.25">
      <c r="B1261" s="3"/>
      <c r="C1261" s="3"/>
    </row>
    <row r="1262" spans="2:3" x14ac:dyDescent="0.25">
      <c r="B1262" s="3"/>
      <c r="C1262" s="3"/>
    </row>
    <row r="1263" spans="2:3" x14ac:dyDescent="0.25">
      <c r="B1263" s="3"/>
      <c r="C1263" s="3"/>
    </row>
    <row r="1264" spans="2:3" x14ac:dyDescent="0.25">
      <c r="B1264" s="3"/>
      <c r="C1264" s="3"/>
    </row>
    <row r="1265" spans="2:3" x14ac:dyDescent="0.25">
      <c r="B1265" s="3"/>
      <c r="C1265" s="3"/>
    </row>
    <row r="1266" spans="2:3" x14ac:dyDescent="0.25">
      <c r="B1266" s="3"/>
      <c r="C1266" s="3"/>
    </row>
    <row r="1267" spans="2:3" x14ac:dyDescent="0.25">
      <c r="B1267" s="3"/>
      <c r="C1267" s="3"/>
    </row>
    <row r="1268" spans="2:3" x14ac:dyDescent="0.25">
      <c r="B1268" s="3"/>
      <c r="C1268" s="3"/>
    </row>
    <row r="1269" spans="2:3" x14ac:dyDescent="0.25">
      <c r="B1269" s="3"/>
      <c r="C1269" s="3"/>
    </row>
    <row r="1270" spans="2:3" x14ac:dyDescent="0.25">
      <c r="B1270" s="3"/>
      <c r="C1270" s="3"/>
    </row>
    <row r="1271" spans="2:3" x14ac:dyDescent="0.25">
      <c r="B1271" s="3"/>
      <c r="C1271" s="3"/>
    </row>
    <row r="1272" spans="2:3" x14ac:dyDescent="0.25">
      <c r="B1272" s="3"/>
      <c r="C1272" s="3"/>
    </row>
    <row r="1273" spans="2:3" x14ac:dyDescent="0.25">
      <c r="B1273" s="3"/>
      <c r="C1273" s="3"/>
    </row>
    <row r="1274" spans="2:3" x14ac:dyDescent="0.25">
      <c r="B1274" s="3"/>
      <c r="C1274" s="3"/>
    </row>
    <row r="1275" spans="2:3" x14ac:dyDescent="0.25">
      <c r="B1275" s="3"/>
      <c r="C1275" s="3"/>
    </row>
    <row r="1276" spans="2:3" x14ac:dyDescent="0.25">
      <c r="B1276" s="3"/>
      <c r="C1276" s="3"/>
    </row>
    <row r="1277" spans="2:3" x14ac:dyDescent="0.25">
      <c r="B1277" s="3"/>
      <c r="C1277" s="3"/>
    </row>
    <row r="1278" spans="2:3" x14ac:dyDescent="0.25">
      <c r="B1278" s="3"/>
      <c r="C1278" s="3"/>
    </row>
    <row r="1279" spans="2:3" x14ac:dyDescent="0.25">
      <c r="B1279" s="3"/>
      <c r="C1279" s="3"/>
    </row>
    <row r="1280" spans="2:3" x14ac:dyDescent="0.25">
      <c r="B1280" s="3"/>
      <c r="C1280" s="3"/>
    </row>
    <row r="1281" spans="2:3" x14ac:dyDescent="0.25">
      <c r="B1281" s="3"/>
      <c r="C1281" s="3"/>
    </row>
    <row r="1282" spans="2:3" x14ac:dyDescent="0.25">
      <c r="B1282" s="3"/>
      <c r="C1282" s="3"/>
    </row>
    <row r="1283" spans="2:3" x14ac:dyDescent="0.25">
      <c r="B1283" s="3"/>
      <c r="C1283" s="3"/>
    </row>
    <row r="1284" spans="2:3" x14ac:dyDescent="0.25">
      <c r="B1284" s="3"/>
      <c r="C1284" s="3"/>
    </row>
    <row r="1285" spans="2:3" x14ac:dyDescent="0.25">
      <c r="B1285" s="3"/>
      <c r="C1285" s="3"/>
    </row>
    <row r="1286" spans="2:3" x14ac:dyDescent="0.25">
      <c r="B1286" s="3"/>
      <c r="C1286" s="3"/>
    </row>
    <row r="1287" spans="2:3" x14ac:dyDescent="0.25">
      <c r="B1287" s="3"/>
      <c r="C1287" s="3"/>
    </row>
    <row r="1288" spans="2:3" x14ac:dyDescent="0.25">
      <c r="B1288" s="3"/>
      <c r="C1288" s="3"/>
    </row>
    <row r="1289" spans="2:3" x14ac:dyDescent="0.25">
      <c r="B1289" s="3"/>
      <c r="C1289" s="3"/>
    </row>
    <row r="1290" spans="2:3" x14ac:dyDescent="0.25">
      <c r="B1290" s="3"/>
      <c r="C1290" s="3"/>
    </row>
    <row r="1291" spans="2:3" x14ac:dyDescent="0.25">
      <c r="B1291" s="3"/>
      <c r="C1291" s="3"/>
    </row>
    <row r="1292" spans="2:3" x14ac:dyDescent="0.25">
      <c r="B1292" s="3"/>
      <c r="C1292" s="3"/>
    </row>
    <row r="1293" spans="2:3" x14ac:dyDescent="0.25">
      <c r="B1293" s="3"/>
      <c r="C1293" s="3"/>
    </row>
    <row r="1294" spans="2:3" x14ac:dyDescent="0.25">
      <c r="B1294" s="3"/>
      <c r="C1294" s="3"/>
    </row>
    <row r="1295" spans="2:3" x14ac:dyDescent="0.25">
      <c r="B1295" s="3"/>
      <c r="C1295" s="3"/>
    </row>
    <row r="1296" spans="2:3" x14ac:dyDescent="0.25">
      <c r="B1296" s="3"/>
      <c r="C1296" s="3"/>
    </row>
    <row r="1297" spans="2:3" x14ac:dyDescent="0.25">
      <c r="B1297" s="3"/>
      <c r="C1297" s="3"/>
    </row>
    <row r="1298" spans="2:3" x14ac:dyDescent="0.25">
      <c r="B1298" s="3"/>
      <c r="C1298" s="3"/>
    </row>
    <row r="1299" spans="2:3" x14ac:dyDescent="0.25">
      <c r="B1299" s="3"/>
      <c r="C1299" s="3"/>
    </row>
    <row r="1300" spans="2:3" x14ac:dyDescent="0.25">
      <c r="B1300" s="3"/>
      <c r="C1300" s="3"/>
    </row>
    <row r="1301" spans="2:3" x14ac:dyDescent="0.25">
      <c r="B1301" s="3"/>
      <c r="C1301" s="3"/>
    </row>
    <row r="1302" spans="2:3" x14ac:dyDescent="0.25">
      <c r="B1302" s="3"/>
      <c r="C1302" s="3"/>
    </row>
    <row r="1303" spans="2:3" x14ac:dyDescent="0.25">
      <c r="B1303" s="3"/>
      <c r="C1303" s="3"/>
    </row>
    <row r="1304" spans="2:3" x14ac:dyDescent="0.25">
      <c r="B1304" s="3"/>
      <c r="C1304" s="3"/>
    </row>
    <row r="1305" spans="2:3" x14ac:dyDescent="0.25">
      <c r="B1305" s="3"/>
      <c r="C1305" s="3"/>
    </row>
    <row r="1306" spans="2:3" x14ac:dyDescent="0.25">
      <c r="B1306" s="3"/>
      <c r="C1306" s="3"/>
    </row>
    <row r="1307" spans="2:3" x14ac:dyDescent="0.25">
      <c r="B1307" s="3"/>
      <c r="C1307" s="3"/>
    </row>
    <row r="1308" spans="2:3" x14ac:dyDescent="0.25">
      <c r="B1308" s="3"/>
      <c r="C1308" s="3"/>
    </row>
    <row r="1309" spans="2:3" x14ac:dyDescent="0.25">
      <c r="B1309" s="3"/>
      <c r="C1309" s="3"/>
    </row>
    <row r="1310" spans="2:3" x14ac:dyDescent="0.25">
      <c r="B1310" s="3"/>
      <c r="C1310" s="3"/>
    </row>
    <row r="1311" spans="2:3" x14ac:dyDescent="0.25">
      <c r="B1311" s="3"/>
      <c r="C1311" s="3"/>
    </row>
    <row r="1312" spans="2:3" x14ac:dyDescent="0.25">
      <c r="B1312" s="3"/>
      <c r="C1312" s="3"/>
    </row>
    <row r="1313" spans="2:3" x14ac:dyDescent="0.25">
      <c r="B1313" s="3"/>
      <c r="C1313" s="3"/>
    </row>
    <row r="1314" spans="2:3" x14ac:dyDescent="0.25">
      <c r="B1314" s="3"/>
      <c r="C1314" s="3"/>
    </row>
    <row r="1315" spans="2:3" x14ac:dyDescent="0.25">
      <c r="B1315" s="3"/>
      <c r="C1315" s="3"/>
    </row>
    <row r="1316" spans="2:3" x14ac:dyDescent="0.25">
      <c r="B1316" s="3"/>
      <c r="C1316" s="3"/>
    </row>
    <row r="1317" spans="2:3" x14ac:dyDescent="0.25">
      <c r="B1317" s="3"/>
      <c r="C1317" s="3"/>
    </row>
    <row r="1318" spans="2:3" x14ac:dyDescent="0.25">
      <c r="B1318" s="3"/>
      <c r="C1318" s="3"/>
    </row>
    <row r="1319" spans="2:3" x14ac:dyDescent="0.25">
      <c r="B1319" s="3"/>
      <c r="C1319" s="3"/>
    </row>
    <row r="1320" spans="2:3" x14ac:dyDescent="0.25">
      <c r="B1320" s="3"/>
      <c r="C1320" s="3"/>
    </row>
    <row r="1321" spans="2:3" x14ac:dyDescent="0.25">
      <c r="B1321" s="3"/>
      <c r="C1321" s="3"/>
    </row>
    <row r="1322" spans="2:3" x14ac:dyDescent="0.25">
      <c r="B1322" s="3"/>
      <c r="C1322" s="3"/>
    </row>
    <row r="1323" spans="2:3" x14ac:dyDescent="0.25">
      <c r="B1323" s="3"/>
      <c r="C1323" s="3"/>
    </row>
    <row r="1324" spans="2:3" x14ac:dyDescent="0.25">
      <c r="B1324" s="3"/>
      <c r="C1324" s="3"/>
    </row>
    <row r="1325" spans="2:3" x14ac:dyDescent="0.25">
      <c r="B1325" s="3"/>
      <c r="C1325" s="3"/>
    </row>
    <row r="1326" spans="2:3" x14ac:dyDescent="0.25">
      <c r="B1326" s="3"/>
      <c r="C1326" s="3"/>
    </row>
    <row r="1327" spans="2:3" x14ac:dyDescent="0.25">
      <c r="B1327" s="3"/>
      <c r="C1327" s="3"/>
    </row>
    <row r="1328" spans="2:3" x14ac:dyDescent="0.25">
      <c r="B1328" s="3"/>
      <c r="C1328" s="3"/>
    </row>
    <row r="1329" spans="2:3" x14ac:dyDescent="0.25">
      <c r="B1329" s="3"/>
      <c r="C1329" s="3"/>
    </row>
    <row r="1330" spans="2:3" x14ac:dyDescent="0.25">
      <c r="B1330" s="3"/>
      <c r="C1330" s="3"/>
    </row>
    <row r="1331" spans="2:3" x14ac:dyDescent="0.25">
      <c r="B1331" s="3"/>
      <c r="C1331" s="3"/>
    </row>
    <row r="1332" spans="2:3" x14ac:dyDescent="0.25">
      <c r="B1332" s="3"/>
      <c r="C1332" s="3"/>
    </row>
    <row r="1333" spans="2:3" x14ac:dyDescent="0.25">
      <c r="B1333" s="3"/>
      <c r="C1333" s="3"/>
    </row>
    <row r="1334" spans="2:3" x14ac:dyDescent="0.25">
      <c r="B1334" s="3"/>
      <c r="C1334" s="3"/>
    </row>
    <row r="1335" spans="2:3" x14ac:dyDescent="0.25">
      <c r="B1335" s="3"/>
      <c r="C1335" s="3"/>
    </row>
    <row r="1336" spans="2:3" x14ac:dyDescent="0.25">
      <c r="B1336" s="3"/>
      <c r="C1336" s="3"/>
    </row>
    <row r="1337" spans="2:3" x14ac:dyDescent="0.25">
      <c r="B1337" s="3"/>
      <c r="C1337" s="3"/>
    </row>
    <row r="1338" spans="2:3" x14ac:dyDescent="0.25">
      <c r="B1338" s="3"/>
      <c r="C1338" s="3"/>
    </row>
    <row r="1339" spans="2:3" x14ac:dyDescent="0.25">
      <c r="B1339" s="3"/>
      <c r="C1339" s="3"/>
    </row>
    <row r="1340" spans="2:3" x14ac:dyDescent="0.25">
      <c r="B1340" s="3"/>
      <c r="C1340" s="3"/>
    </row>
    <row r="1341" spans="2:3" x14ac:dyDescent="0.25">
      <c r="B1341" s="3"/>
      <c r="C1341" s="3"/>
    </row>
    <row r="1342" spans="2:3" x14ac:dyDescent="0.25">
      <c r="B1342" s="3"/>
      <c r="C1342" s="3"/>
    </row>
    <row r="1343" spans="2:3" x14ac:dyDescent="0.25">
      <c r="B1343" s="3"/>
      <c r="C1343" s="3"/>
    </row>
    <row r="1344" spans="2:3" x14ac:dyDescent="0.25">
      <c r="B1344" s="3"/>
      <c r="C1344" s="3"/>
    </row>
    <row r="1345" spans="2:3" x14ac:dyDescent="0.25">
      <c r="B1345" s="3"/>
      <c r="C1345" s="3"/>
    </row>
    <row r="1346" spans="2:3" x14ac:dyDescent="0.25">
      <c r="B1346" s="3"/>
      <c r="C1346" s="3"/>
    </row>
    <row r="1347" spans="2:3" x14ac:dyDescent="0.25">
      <c r="B1347" s="3"/>
      <c r="C1347" s="3"/>
    </row>
    <row r="1348" spans="2:3" x14ac:dyDescent="0.25">
      <c r="B1348" s="3"/>
      <c r="C1348" s="3"/>
    </row>
    <row r="1349" spans="2:3" x14ac:dyDescent="0.25">
      <c r="B1349" s="3"/>
      <c r="C1349" s="3"/>
    </row>
    <row r="1350" spans="2:3" x14ac:dyDescent="0.25">
      <c r="B1350" s="3"/>
      <c r="C1350" s="3"/>
    </row>
    <row r="1351" spans="2:3" x14ac:dyDescent="0.25">
      <c r="B1351" s="3"/>
      <c r="C1351" s="3"/>
    </row>
    <row r="1352" spans="2:3" x14ac:dyDescent="0.25">
      <c r="B1352" s="3"/>
      <c r="C1352" s="3"/>
    </row>
    <row r="1353" spans="2:3" x14ac:dyDescent="0.25">
      <c r="B1353" s="3"/>
      <c r="C1353" s="3"/>
    </row>
    <row r="1354" spans="2:3" x14ac:dyDescent="0.25">
      <c r="B1354" s="3"/>
      <c r="C1354" s="3"/>
    </row>
    <row r="1355" spans="2:3" x14ac:dyDescent="0.25">
      <c r="B1355" s="3"/>
      <c r="C1355" s="3"/>
    </row>
    <row r="1356" spans="2:3" x14ac:dyDescent="0.25">
      <c r="B1356" s="3"/>
      <c r="C1356" s="3"/>
    </row>
    <row r="1357" spans="2:3" x14ac:dyDescent="0.25">
      <c r="B1357" s="3"/>
      <c r="C1357" s="3"/>
    </row>
    <row r="1358" spans="2:3" x14ac:dyDescent="0.25">
      <c r="B1358" s="3"/>
      <c r="C1358" s="3"/>
    </row>
    <row r="1359" spans="2:3" x14ac:dyDescent="0.25">
      <c r="B1359" s="3"/>
      <c r="C1359" s="3"/>
    </row>
    <row r="1360" spans="2:3" x14ac:dyDescent="0.25">
      <c r="B1360" s="3"/>
      <c r="C1360" s="3"/>
    </row>
    <row r="1361" spans="2:3" x14ac:dyDescent="0.25">
      <c r="B1361" s="3"/>
      <c r="C1361" s="3"/>
    </row>
    <row r="1362" spans="2:3" x14ac:dyDescent="0.25">
      <c r="B1362" s="3"/>
      <c r="C1362" s="3"/>
    </row>
    <row r="1363" spans="2:3" x14ac:dyDescent="0.25">
      <c r="B1363" s="3"/>
      <c r="C1363" s="3"/>
    </row>
    <row r="1364" spans="2:3" x14ac:dyDescent="0.25">
      <c r="B1364" s="3"/>
      <c r="C1364" s="3"/>
    </row>
    <row r="1365" spans="2:3" x14ac:dyDescent="0.25">
      <c r="B1365" s="3"/>
      <c r="C1365" s="3"/>
    </row>
    <row r="1366" spans="2:3" x14ac:dyDescent="0.25">
      <c r="B1366" s="3"/>
      <c r="C1366" s="3"/>
    </row>
    <row r="1367" spans="2:3" x14ac:dyDescent="0.25">
      <c r="B1367" s="3"/>
      <c r="C1367" s="3"/>
    </row>
    <row r="1368" spans="2:3" x14ac:dyDescent="0.25">
      <c r="B1368" s="3"/>
      <c r="C1368" s="3"/>
    </row>
    <row r="1369" spans="2:3" x14ac:dyDescent="0.25">
      <c r="B1369" s="3"/>
      <c r="C1369" s="3"/>
    </row>
    <row r="1370" spans="2:3" x14ac:dyDescent="0.25">
      <c r="B1370" s="3"/>
      <c r="C1370" s="3"/>
    </row>
    <row r="1371" spans="2:3" x14ac:dyDescent="0.25">
      <c r="B1371" s="3"/>
      <c r="C1371" s="3"/>
    </row>
    <row r="1372" spans="2:3" x14ac:dyDescent="0.25">
      <c r="B1372" s="3"/>
      <c r="C1372" s="3"/>
    </row>
    <row r="1373" spans="2:3" x14ac:dyDescent="0.25">
      <c r="B1373" s="3"/>
      <c r="C1373" s="3"/>
    </row>
    <row r="1374" spans="2:3" x14ac:dyDescent="0.25">
      <c r="B1374" s="3"/>
      <c r="C1374" s="3"/>
    </row>
    <row r="1375" spans="2:3" x14ac:dyDescent="0.25">
      <c r="B1375" s="3"/>
      <c r="C1375" s="3"/>
    </row>
    <row r="1376" spans="2:3" x14ac:dyDescent="0.25">
      <c r="B1376" s="3"/>
      <c r="C1376" s="3"/>
    </row>
    <row r="1377" spans="2:3" x14ac:dyDescent="0.25">
      <c r="B1377" s="3"/>
      <c r="C1377" s="3"/>
    </row>
    <row r="1378" spans="2:3" x14ac:dyDescent="0.25">
      <c r="B1378" s="3"/>
      <c r="C1378" s="3"/>
    </row>
    <row r="1379" spans="2:3" x14ac:dyDescent="0.25">
      <c r="B1379" s="3"/>
      <c r="C1379" s="3"/>
    </row>
    <row r="1380" spans="2:3" x14ac:dyDescent="0.25">
      <c r="B1380" s="3"/>
      <c r="C1380" s="3"/>
    </row>
    <row r="1381" spans="2:3" x14ac:dyDescent="0.25">
      <c r="B1381" s="3"/>
      <c r="C1381" s="3"/>
    </row>
    <row r="1382" spans="2:3" x14ac:dyDescent="0.25">
      <c r="B1382" s="3"/>
      <c r="C1382" s="3"/>
    </row>
    <row r="1383" spans="2:3" x14ac:dyDescent="0.25">
      <c r="B1383" s="3"/>
      <c r="C1383" s="3"/>
    </row>
    <row r="1384" spans="2:3" x14ac:dyDescent="0.25">
      <c r="B1384" s="3"/>
      <c r="C1384" s="3"/>
    </row>
    <row r="1385" spans="2:3" x14ac:dyDescent="0.25">
      <c r="B1385" s="3"/>
      <c r="C1385" s="3"/>
    </row>
    <row r="1386" spans="2:3" x14ac:dyDescent="0.25">
      <c r="B1386" s="3"/>
      <c r="C1386" s="3"/>
    </row>
    <row r="1387" spans="2:3" x14ac:dyDescent="0.25">
      <c r="B1387" s="3"/>
      <c r="C1387" s="3"/>
    </row>
    <row r="1388" spans="2:3" x14ac:dyDescent="0.25">
      <c r="B1388" s="3"/>
      <c r="C1388" s="3"/>
    </row>
    <row r="1389" spans="2:3" x14ac:dyDescent="0.25">
      <c r="B1389" s="3"/>
      <c r="C1389" s="3"/>
    </row>
    <row r="1390" spans="2:3" x14ac:dyDescent="0.25">
      <c r="B1390" s="3"/>
      <c r="C1390" s="3"/>
    </row>
    <row r="1391" spans="2:3" x14ac:dyDescent="0.25">
      <c r="B1391" s="3"/>
      <c r="C1391" s="3"/>
    </row>
    <row r="1392" spans="2:3" x14ac:dyDescent="0.25">
      <c r="B1392" s="3"/>
      <c r="C1392" s="3"/>
    </row>
    <row r="1393" spans="2:3" x14ac:dyDescent="0.25">
      <c r="B1393" s="3"/>
      <c r="C1393" s="3"/>
    </row>
    <row r="1394" spans="2:3" x14ac:dyDescent="0.25">
      <c r="B1394" s="3"/>
      <c r="C1394" s="3"/>
    </row>
    <row r="1395" spans="2:3" x14ac:dyDescent="0.25">
      <c r="B1395" s="3"/>
      <c r="C1395" s="3"/>
    </row>
    <row r="1396" spans="2:3" x14ac:dyDescent="0.25">
      <c r="B1396" s="3"/>
      <c r="C1396" s="3"/>
    </row>
  </sheetData>
  <conditionalFormatting sqref="W1:W1048576">
    <cfRule type="expression" dxfId="1" priority="1">
      <formula>B1&lt;&gt;W1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D5CD3-4F87-4C65-B3D0-E406E92724AB}">
  <dimension ref="A1:O52"/>
  <sheetViews>
    <sheetView workbookViewId="0"/>
  </sheetViews>
  <sheetFormatPr defaultRowHeight="15" x14ac:dyDescent="0.25"/>
  <cols>
    <col min="1" max="3" width="3" bestFit="1" customWidth="1"/>
    <col min="4" max="4" width="4" bestFit="1" customWidth="1"/>
    <col min="5" max="7" width="8.28515625" bestFit="1" customWidth="1"/>
    <col min="8" max="8" width="8.140625" bestFit="1" customWidth="1"/>
    <col min="9" max="9" width="7.5703125" bestFit="1" customWidth="1"/>
    <col min="10" max="10" width="7" bestFit="1" customWidth="1"/>
    <col min="11" max="11" width="12.140625" bestFit="1" customWidth="1"/>
    <col min="12" max="12" width="11.28515625" bestFit="1" customWidth="1"/>
    <col min="13" max="13" width="20.140625" customWidth="1"/>
  </cols>
  <sheetData>
    <row r="1" spans="1:15" x14ac:dyDescent="0.25">
      <c r="A1" t="s">
        <v>152</v>
      </c>
      <c r="B1" s="11" t="s">
        <v>154</v>
      </c>
      <c r="C1" t="s">
        <v>153</v>
      </c>
      <c r="D1" t="s">
        <v>160</v>
      </c>
      <c r="E1" t="s">
        <v>155</v>
      </c>
      <c r="F1" t="s">
        <v>156</v>
      </c>
      <c r="G1" t="s">
        <v>157</v>
      </c>
      <c r="H1" t="s">
        <v>158</v>
      </c>
      <c r="I1" t="s">
        <v>159</v>
      </c>
      <c r="J1" t="s">
        <v>97</v>
      </c>
      <c r="K1" t="s">
        <v>162</v>
      </c>
      <c r="L1" t="s">
        <v>161</v>
      </c>
      <c r="M1" t="s">
        <v>150</v>
      </c>
      <c r="O1" t="s">
        <v>163</v>
      </c>
    </row>
    <row r="2" spans="1:15" x14ac:dyDescent="0.25">
      <c r="A2" t="e" cm="1">
        <f t="array" ref="A2:A52">SEARCH(A$1,_xlfn.ANCHORARRAY($M2))</f>
        <v>#VALUE!</v>
      </c>
      <c r="B2" t="e" cm="1">
        <f t="array" ref="B2:B52">SEARCH(B$1,_xlfn.ANCHORARRAY($M2))</f>
        <v>#VALUE!</v>
      </c>
      <c r="C2" t="e" cm="1">
        <f t="array" ref="C2:C52">SEARCH(C$1,_xlfn.ANCHORARRAY($M2))</f>
        <v>#VALUE!</v>
      </c>
      <c r="D2" t="e" cm="1">
        <f t="array" ref="D2:D52">SEARCH(D$1,_xlfn.ANCHORARRAY($M2))</f>
        <v>#VALUE!</v>
      </c>
      <c r="E2" t="e" cm="1">
        <f t="array" ref="E2:E52">VALUE(MID(_xlfn.ANCHORARRAY($M2),_xlfn.ANCHORARRAY(A2)-3,3))</f>
        <v>#VALUE!</v>
      </c>
      <c r="F2" t="e" cm="1">
        <f t="array" ref="F2:F52">VALUE(MID(_xlfn.ANCHORARRAY($M2),_xlfn.ANCHORARRAY(B2)-2,2))</f>
        <v>#VALUE!</v>
      </c>
      <c r="G2" t="e" cm="1">
        <f t="array" ref="G2:G52">VALUE(MID(_xlfn.ANCHORARRAY($M2),_xlfn.ANCHORARRAY(C2)-2,2))</f>
        <v>#VALUE!</v>
      </c>
      <c r="H2" s="6" t="e" cm="1">
        <f t="array" ref="H2:H52">_xlfn.ANCHORARRAY(E2)+_xlfn.ANCHORARRAY(F2)/60+_xlfn.ANCHORARRAY(G2)/60/60</f>
        <v>#VALUE!</v>
      </c>
      <c r="I2" s="6" t="e" cm="1">
        <f t="array" ref="I2:I52">90+_xlfn.ANCHORARRAY(H2)</f>
        <v>#VALUE!</v>
      </c>
      <c r="J2" s="6" t="e" cm="1">
        <f t="array" ref="J2:J52">_xlfn.ANCHORARRAY(I2)</f>
        <v>#VALUE!</v>
      </c>
      <c r="K2" t="e" cm="1">
        <f t="array" ref="K2:K52">RIGHT(_xlfn.ANCHORARRAY(M2),LEN(_xlfn.ANCHORARRAY(M2))-_xlfn.ANCHORARRAY(D2))</f>
        <v>#VALUE!</v>
      </c>
      <c r="L2" t="e" cm="1">
        <f t="array" ref="L2:L52">LEFT(_xlfn.ANCHORARRAY(K2),LEN(_xlfn.ANCHORARRAY(K2))-1)</f>
        <v>#VALUE!</v>
      </c>
      <c r="M2" t="str" cm="1">
        <f t="array" ref="M2:M52">_xlfn._xlws.FILTER('12D-Road.rpt'!A:A,'12D-Road.rpt'!A:A&lt;&gt;"")</f>
        <v>-----------------------------------------------------------------------------------------------------------</v>
      </c>
    </row>
    <row r="3" spans="1:15" x14ac:dyDescent="0.25">
      <c r="A3" t="e">
        <v>#VALUE!</v>
      </c>
      <c r="B3" t="e">
        <v>#VALUE!</v>
      </c>
      <c r="C3">
        <v>21</v>
      </c>
      <c r="D3" t="e">
        <v>#VALUE!</v>
      </c>
      <c r="E3" t="e">
        <v>#VALUE!</v>
      </c>
      <c r="F3" t="e">
        <v>#VALUE!</v>
      </c>
      <c r="G3" t="e">
        <v>#VALUE!</v>
      </c>
      <c r="H3" s="6" t="e">
        <v>#VALUE!</v>
      </c>
      <c r="I3" s="6" t="e">
        <v>#VALUE!</v>
      </c>
      <c r="J3" s="6" t="e">
        <v>#VALUE!</v>
      </c>
      <c r="K3" t="e">
        <v>#VALUE!</v>
      </c>
      <c r="L3" t="e">
        <v>#VALUE!</v>
      </c>
      <c r="M3" t="str">
        <v xml:space="preserve"> Road centre line   "north chinnamon floodway"</v>
      </c>
    </row>
    <row r="4" spans="1:15" x14ac:dyDescent="0.25">
      <c r="A4" t="e">
        <v>#VALUE!</v>
      </c>
      <c r="B4" t="e">
        <v>#VALUE!</v>
      </c>
      <c r="C4" t="e">
        <v>#VALUE!</v>
      </c>
      <c r="D4" t="e">
        <v>#VALUE!</v>
      </c>
      <c r="E4" t="e">
        <v>#VALUE!</v>
      </c>
      <c r="F4" t="e">
        <v>#VALUE!</v>
      </c>
      <c r="G4" t="e">
        <v>#VALUE!</v>
      </c>
      <c r="H4" s="6" t="e">
        <v>#VALUE!</v>
      </c>
      <c r="I4" s="6" t="e">
        <v>#VALUE!</v>
      </c>
      <c r="J4" s="6" t="e">
        <v>#VALUE!</v>
      </c>
      <c r="K4" t="e">
        <v>#VALUE!</v>
      </c>
      <c r="L4" t="e">
        <v>#VALUE!</v>
      </c>
      <c r="M4" t="str">
        <v>-----------------------------------------------------------------------------------------------------------</v>
      </c>
    </row>
    <row r="5" spans="1:15" x14ac:dyDescent="0.25">
      <c r="A5" t="e">
        <v>#VALUE!</v>
      </c>
      <c r="B5" t="e">
        <v>#VALUE!</v>
      </c>
      <c r="C5" t="e">
        <v>#VALUE!</v>
      </c>
      <c r="D5" t="e">
        <v>#VALUE!</v>
      </c>
      <c r="E5" t="e">
        <v>#VALUE!</v>
      </c>
      <c r="F5" t="e">
        <v>#VALUE!</v>
      </c>
      <c r="G5" t="e">
        <v>#VALUE!</v>
      </c>
      <c r="H5" s="6" t="e">
        <v>#VALUE!</v>
      </c>
      <c r="I5" s="6" t="e">
        <v>#VALUE!</v>
      </c>
      <c r="J5" s="6" t="e">
        <v>#VALUE!</v>
      </c>
      <c r="K5" t="e">
        <v>#VALUE!</v>
      </c>
      <c r="L5" t="e">
        <v>#VALUE!</v>
      </c>
      <c r="M5" t="str">
        <v xml:space="preserve">             Crossing                        Centreline                     String                         </v>
      </c>
    </row>
    <row r="6" spans="1:15" x14ac:dyDescent="0.25">
      <c r="A6" t="e">
        <v>#VALUE!</v>
      </c>
      <c r="B6" t="e">
        <v>#VALUE!</v>
      </c>
      <c r="C6" t="e">
        <v>#VALUE!</v>
      </c>
      <c r="D6" t="e">
        <v>#VALUE!</v>
      </c>
      <c r="E6" t="e">
        <v>#VALUE!</v>
      </c>
      <c r="F6" t="e">
        <v>#VALUE!</v>
      </c>
      <c r="G6" t="e">
        <v>#VALUE!</v>
      </c>
      <c r="H6" s="6" t="e">
        <v>#VALUE!</v>
      </c>
      <c r="I6" s="6" t="e">
        <v>#VALUE!</v>
      </c>
      <c r="J6" s="6" t="e">
        <v>#VALUE!</v>
      </c>
      <c r="K6" t="e">
        <v>#VALUE!</v>
      </c>
      <c r="L6" t="e">
        <v>#VALUE!</v>
      </c>
      <c r="M6" t="str">
        <v xml:space="preserve">     Easting     Northing    Angle       Chainage     Height     Chainage     Height  Slope%    Name       </v>
      </c>
    </row>
    <row r="7" spans="1:15" x14ac:dyDescent="0.25">
      <c r="A7" t="e">
        <v>#VALUE!</v>
      </c>
      <c r="B7" t="e">
        <v>#VALUE!</v>
      </c>
      <c r="C7" t="e">
        <v>#VALUE!</v>
      </c>
      <c r="D7" t="e">
        <v>#VALUE!</v>
      </c>
      <c r="E7" t="e">
        <v>#VALUE!</v>
      </c>
      <c r="F7" t="e">
        <v>#VALUE!</v>
      </c>
      <c r="G7" t="e">
        <v>#VALUE!</v>
      </c>
      <c r="H7" s="6" t="e">
        <v>#VALUE!</v>
      </c>
      <c r="I7" s="6" t="e">
        <v>#VALUE!</v>
      </c>
      <c r="J7" s="6" t="e">
        <v>#VALUE!</v>
      </c>
      <c r="K7" t="e">
        <v>#VALUE!</v>
      </c>
      <c r="L7" t="e">
        <v>#VALUE!</v>
      </c>
      <c r="M7" t="str">
        <v>-----------------------------------------------------------------------------------------------------------</v>
      </c>
    </row>
    <row r="8" spans="1:15" x14ac:dyDescent="0.25">
      <c r="A8">
        <v>30</v>
      </c>
      <c r="B8">
        <v>33</v>
      </c>
      <c r="C8">
        <v>36</v>
      </c>
      <c r="D8">
        <v>110</v>
      </c>
      <c r="E8">
        <v>0</v>
      </c>
      <c r="F8">
        <v>0</v>
      </c>
      <c r="G8">
        <v>0</v>
      </c>
      <c r="H8">
        <v>0</v>
      </c>
      <c r="I8">
        <v>90</v>
      </c>
      <c r="J8">
        <v>90</v>
      </c>
      <c r="K8" t="str">
        <v>channel nth"</v>
      </c>
      <c r="L8" t="str">
        <v>channel nth</v>
      </c>
      <c r="M8" t="str">
        <v xml:space="preserve">  688648.485  7671741.060   0° 0' 0"      445.000    149.001       13.421    147.450   -0.38    "CULVERTS FW-&gt;channel nth"</v>
      </c>
    </row>
    <row r="9" spans="1:15" x14ac:dyDescent="0.25">
      <c r="A9">
        <v>30</v>
      </c>
      <c r="B9">
        <v>33</v>
      </c>
      <c r="C9">
        <v>36</v>
      </c>
      <c r="D9">
        <v>110</v>
      </c>
      <c r="E9">
        <v>0</v>
      </c>
      <c r="F9">
        <v>0</v>
      </c>
      <c r="G9">
        <v>0</v>
      </c>
      <c r="H9">
        <v>0</v>
      </c>
      <c r="I9">
        <v>90</v>
      </c>
      <c r="J9">
        <v>90</v>
      </c>
      <c r="K9" t="str">
        <v>main channel sth"</v>
      </c>
      <c r="L9" t="str">
        <v>main channel sth</v>
      </c>
      <c r="M9" t="str">
        <v xml:space="preserve">  688680.358  7671609.876   0° 0' 0"      310.000    149.000       16.194    146.802   -0.61    "CULVERTS FW-&gt;main channel sth"</v>
      </c>
    </row>
    <row r="10" spans="1:15" x14ac:dyDescent="0.25">
      <c r="A10" t="e">
        <v>#VALUE!</v>
      </c>
      <c r="B10" t="e">
        <v>#VALUE!</v>
      </c>
      <c r="C10" t="e">
        <v>#VALUE!</v>
      </c>
      <c r="D10" t="e">
        <v>#VALUE!</v>
      </c>
      <c r="E10" t="e">
        <v>#VALUE!</v>
      </c>
      <c r="F10" t="e">
        <v>#VALUE!</v>
      </c>
      <c r="G10" t="e">
        <v>#VALUE!</v>
      </c>
      <c r="H10" t="e">
        <v>#VALUE!</v>
      </c>
      <c r="I10" t="e">
        <v>#VALUE!</v>
      </c>
      <c r="J10" t="e">
        <v>#VALUE!</v>
      </c>
      <c r="K10" t="e">
        <v>#VALUE!</v>
      </c>
      <c r="L10" t="e">
        <v>#VALUE!</v>
      </c>
      <c r="M10" t="str">
        <v>-----------------------------------------------------------------------------------------------------------</v>
      </c>
    </row>
    <row r="11" spans="1:15" x14ac:dyDescent="0.25">
      <c r="A11" t="e">
        <v>#VALUE!</v>
      </c>
      <c r="B11" t="e">
        <v>#VALUE!</v>
      </c>
      <c r="C11" t="e">
        <v>#VALUE!</v>
      </c>
      <c r="D11" t="e">
        <v>#VALUE!</v>
      </c>
      <c r="E11" t="e">
        <v>#VALUE!</v>
      </c>
      <c r="F11" t="e">
        <v>#VALUE!</v>
      </c>
      <c r="G11" t="e">
        <v>#VALUE!</v>
      </c>
      <c r="H11" t="e">
        <v>#VALUE!</v>
      </c>
      <c r="I11" t="e">
        <v>#VALUE!</v>
      </c>
      <c r="J11" t="e">
        <v>#VALUE!</v>
      </c>
      <c r="K11" t="e">
        <v>#VALUE!</v>
      </c>
      <c r="L11" t="e">
        <v>#VALUE!</v>
      </c>
      <c r="M11" t="str">
        <v>-----------------------------------------------------------------------------------------------------------</v>
      </c>
    </row>
    <row r="12" spans="1:15" x14ac:dyDescent="0.25">
      <c r="A12" t="e">
        <v>#VALUE!</v>
      </c>
      <c r="B12" t="e">
        <v>#VALUE!</v>
      </c>
      <c r="C12">
        <v>21</v>
      </c>
      <c r="D12" t="e">
        <v>#VALUE!</v>
      </c>
      <c r="E12" t="e">
        <v>#VALUE!</v>
      </c>
      <c r="F12" t="e">
        <v>#VALUE!</v>
      </c>
      <c r="G12" t="e">
        <v>#VALUE!</v>
      </c>
      <c r="H12" t="e">
        <v>#VALUE!</v>
      </c>
      <c r="I12" t="e">
        <v>#VALUE!</v>
      </c>
      <c r="J12" t="e">
        <v>#VALUE!</v>
      </c>
      <c r="K12" t="e">
        <v>#VALUE!</v>
      </c>
      <c r="L12" t="e">
        <v>#VALUE!</v>
      </c>
      <c r="M12" t="str">
        <v xml:space="preserve"> Road centre line   "Chinnamon"</v>
      </c>
    </row>
    <row r="13" spans="1:15" x14ac:dyDescent="0.25">
      <c r="A13" t="e">
        <v>#VALUE!</v>
      </c>
      <c r="B13" t="e">
        <v>#VALUE!</v>
      </c>
      <c r="C13" t="e">
        <v>#VALUE!</v>
      </c>
      <c r="D13" t="e">
        <v>#VALUE!</v>
      </c>
      <c r="E13" t="e">
        <v>#VALUE!</v>
      </c>
      <c r="F13" t="e">
        <v>#VALUE!</v>
      </c>
      <c r="G13" t="e">
        <v>#VALUE!</v>
      </c>
      <c r="H13" t="e">
        <v>#VALUE!</v>
      </c>
      <c r="I13" t="e">
        <v>#VALUE!</v>
      </c>
      <c r="J13" t="e">
        <v>#VALUE!</v>
      </c>
      <c r="K13" t="e">
        <v>#VALUE!</v>
      </c>
      <c r="L13" t="e">
        <v>#VALUE!</v>
      </c>
      <c r="M13" t="str">
        <v>-----------------------------------------------------------------------------------------------------------</v>
      </c>
    </row>
    <row r="14" spans="1:15" x14ac:dyDescent="0.25">
      <c r="A14" t="e">
        <v>#VALUE!</v>
      </c>
      <c r="B14" t="e">
        <v>#VALUE!</v>
      </c>
      <c r="C14" t="e">
        <v>#VALUE!</v>
      </c>
      <c r="D14" t="e">
        <v>#VALUE!</v>
      </c>
      <c r="E14" t="e">
        <v>#VALUE!</v>
      </c>
      <c r="F14" t="e">
        <v>#VALUE!</v>
      </c>
      <c r="G14" t="e">
        <v>#VALUE!</v>
      </c>
      <c r="H14" t="e">
        <v>#VALUE!</v>
      </c>
      <c r="I14" t="e">
        <v>#VALUE!</v>
      </c>
      <c r="J14" t="e">
        <v>#VALUE!</v>
      </c>
      <c r="K14" t="e">
        <v>#VALUE!</v>
      </c>
      <c r="L14" t="e">
        <v>#VALUE!</v>
      </c>
      <c r="M14" t="str">
        <v xml:space="preserve">             Crossing                        Centreline                     String                         </v>
      </c>
    </row>
    <row r="15" spans="1:15" x14ac:dyDescent="0.25">
      <c r="A15" t="e">
        <v>#VALUE!</v>
      </c>
      <c r="B15" t="e">
        <v>#VALUE!</v>
      </c>
      <c r="C15" t="e">
        <v>#VALUE!</v>
      </c>
      <c r="D15" t="e">
        <v>#VALUE!</v>
      </c>
      <c r="E15" t="e">
        <v>#VALUE!</v>
      </c>
      <c r="F15" t="e">
        <v>#VALUE!</v>
      </c>
      <c r="G15" t="e">
        <v>#VALUE!</v>
      </c>
      <c r="H15" t="e">
        <v>#VALUE!</v>
      </c>
      <c r="I15" t="e">
        <v>#VALUE!</v>
      </c>
      <c r="J15" t="e">
        <v>#VALUE!</v>
      </c>
      <c r="K15" t="e">
        <v>#VALUE!</v>
      </c>
      <c r="L15" t="e">
        <v>#VALUE!</v>
      </c>
      <c r="M15" t="str">
        <v xml:space="preserve">     Easting     Northing    Angle       Chainage     Height     Chainage     Height  Slope%    Name       </v>
      </c>
    </row>
    <row r="16" spans="1:15" x14ac:dyDescent="0.25">
      <c r="A16" t="e">
        <v>#VALUE!</v>
      </c>
      <c r="B16" t="e">
        <v>#VALUE!</v>
      </c>
      <c r="C16" t="e">
        <v>#VALUE!</v>
      </c>
      <c r="D16" t="e">
        <v>#VALUE!</v>
      </c>
      <c r="E16" t="e">
        <v>#VALUE!</v>
      </c>
      <c r="F16" t="e">
        <v>#VALUE!</v>
      </c>
      <c r="G16" t="e">
        <v>#VALUE!</v>
      </c>
      <c r="H16" t="e">
        <v>#VALUE!</v>
      </c>
      <c r="I16" t="e">
        <v>#VALUE!</v>
      </c>
      <c r="J16" t="e">
        <v>#VALUE!</v>
      </c>
      <c r="K16" t="e">
        <v>#VALUE!</v>
      </c>
      <c r="L16" t="e">
        <v>#VALUE!</v>
      </c>
      <c r="M16" t="str">
        <v>-----------------------------------------------------------------------------------------------------------</v>
      </c>
    </row>
    <row r="17" spans="1:13" x14ac:dyDescent="0.25">
      <c r="A17">
        <v>30</v>
      </c>
      <c r="B17">
        <v>33</v>
      </c>
      <c r="C17">
        <v>36</v>
      </c>
      <c r="D17">
        <v>110</v>
      </c>
      <c r="E17">
        <v>8</v>
      </c>
      <c r="F17">
        <v>6</v>
      </c>
      <c r="G17">
        <v>51</v>
      </c>
      <c r="H17">
        <v>8.1141666666666659</v>
      </c>
      <c r="I17">
        <v>98.114166666666662</v>
      </c>
      <c r="J17">
        <v>98.114166666666662</v>
      </c>
      <c r="K17" t="str">
        <v>culvert Chinnamon Crk"</v>
      </c>
      <c r="L17" t="str">
        <v>culvert Chinnamon Crk</v>
      </c>
      <c r="M17" t="str">
        <v xml:space="preserve">  687903.291  7671196.904   8° 6'51"    14747.731    149.604       16.072    146.955   -0.28    "CULVERTS FW-&gt;culvert Chinnamon Crk"</v>
      </c>
    </row>
    <row r="18" spans="1:13" x14ac:dyDescent="0.25">
      <c r="A18">
        <v>30</v>
      </c>
      <c r="B18">
        <v>33</v>
      </c>
      <c r="C18">
        <v>36</v>
      </c>
      <c r="D18">
        <v>110</v>
      </c>
      <c r="E18">
        <v>0</v>
      </c>
      <c r="F18">
        <v>0</v>
      </c>
      <c r="G18">
        <v>0</v>
      </c>
      <c r="H18">
        <v>0</v>
      </c>
      <c r="I18">
        <v>90</v>
      </c>
      <c r="J18">
        <v>90</v>
      </c>
      <c r="K18" t="str">
        <v>culvert Chinnamon Crk 001"</v>
      </c>
      <c r="L18" t="str">
        <v>culvert Chinnamon Crk 001</v>
      </c>
      <c r="M18" t="str">
        <v xml:space="preserve">  687697.042  7671144.787   0° 0' 0"    14535.000    149.633       22.911    146.448   -0.23    "CULVERTS FW-&gt;culvert Chinnamon Crk 001"</v>
      </c>
    </row>
    <row r="19" spans="1:13" x14ac:dyDescent="0.25">
      <c r="A19" t="e">
        <v>#VALUE!</v>
      </c>
      <c r="B19" t="e">
        <v>#VALUE!</v>
      </c>
      <c r="C19" t="e">
        <v>#VALUE!</v>
      </c>
      <c r="D19" t="e">
        <v>#VALUE!</v>
      </c>
      <c r="E19" t="e">
        <v>#VALUE!</v>
      </c>
      <c r="F19" t="e">
        <v>#VALUE!</v>
      </c>
      <c r="G19" t="e">
        <v>#VALUE!</v>
      </c>
      <c r="H19" t="e">
        <v>#VALUE!</v>
      </c>
      <c r="I19" t="e">
        <v>#VALUE!</v>
      </c>
      <c r="J19" t="e">
        <v>#VALUE!</v>
      </c>
      <c r="K19" t="e">
        <v>#VALUE!</v>
      </c>
      <c r="L19" t="e">
        <v>#VALUE!</v>
      </c>
      <c r="M19" t="str">
        <v>-----------------------------------------------------------------------------------------------------------</v>
      </c>
    </row>
    <row r="20" spans="1:13" x14ac:dyDescent="0.25">
      <c r="A20" t="e">
        <v>#VALUE!</v>
      </c>
      <c r="B20" t="e">
        <v>#VALUE!</v>
      </c>
      <c r="C20" t="e">
        <v>#VALUE!</v>
      </c>
      <c r="D20" t="e">
        <v>#VALUE!</v>
      </c>
      <c r="E20" t="e">
        <v>#VALUE!</v>
      </c>
      <c r="F20" t="e">
        <v>#VALUE!</v>
      </c>
      <c r="G20" t="e">
        <v>#VALUE!</v>
      </c>
      <c r="H20" t="e">
        <v>#VALUE!</v>
      </c>
      <c r="I20" t="e">
        <v>#VALUE!</v>
      </c>
      <c r="J20" t="e">
        <v>#VALUE!</v>
      </c>
      <c r="K20" t="e">
        <v>#VALUE!</v>
      </c>
      <c r="L20" t="e">
        <v>#VALUE!</v>
      </c>
      <c r="M20" t="str">
        <v>-----------------------------------------------------------------------------------------------------------</v>
      </c>
    </row>
    <row r="21" spans="1:13" x14ac:dyDescent="0.25">
      <c r="A21" t="e">
        <v>#VALUE!</v>
      </c>
      <c r="B21" t="e">
        <v>#VALUE!</v>
      </c>
      <c r="C21">
        <v>21</v>
      </c>
      <c r="D21" t="e">
        <v>#VALUE!</v>
      </c>
      <c r="E21" t="e">
        <v>#VALUE!</v>
      </c>
      <c r="F21" t="e">
        <v>#VALUE!</v>
      </c>
      <c r="G21" t="e">
        <v>#VALUE!</v>
      </c>
      <c r="H21" t="e">
        <v>#VALUE!</v>
      </c>
      <c r="I21" t="e">
        <v>#VALUE!</v>
      </c>
      <c r="J21" t="e">
        <v>#VALUE!</v>
      </c>
      <c r="K21" t="e">
        <v>#VALUE!</v>
      </c>
      <c r="L21" t="e">
        <v>#VALUE!</v>
      </c>
      <c r="M21" t="str">
        <v xml:space="preserve"> Road centre line   "Chinnamon low level option"</v>
      </c>
    </row>
    <row r="22" spans="1:13" x14ac:dyDescent="0.25">
      <c r="A22" t="e">
        <v>#VALUE!</v>
      </c>
      <c r="B22" t="e">
        <v>#VALUE!</v>
      </c>
      <c r="C22" t="e">
        <v>#VALUE!</v>
      </c>
      <c r="D22" t="e">
        <v>#VALUE!</v>
      </c>
      <c r="E22" t="e">
        <v>#VALUE!</v>
      </c>
      <c r="F22" t="e">
        <v>#VALUE!</v>
      </c>
      <c r="G22" t="e">
        <v>#VALUE!</v>
      </c>
      <c r="H22" t="e">
        <v>#VALUE!</v>
      </c>
      <c r="I22" t="e">
        <v>#VALUE!</v>
      </c>
      <c r="J22" t="e">
        <v>#VALUE!</v>
      </c>
      <c r="K22" t="e">
        <v>#VALUE!</v>
      </c>
      <c r="L22" t="e">
        <v>#VALUE!</v>
      </c>
      <c r="M22" t="str">
        <v>-----------------------------------------------------------------------------------------------------------</v>
      </c>
    </row>
    <row r="23" spans="1:13" x14ac:dyDescent="0.25">
      <c r="A23" t="e">
        <v>#VALUE!</v>
      </c>
      <c r="B23" t="e">
        <v>#VALUE!</v>
      </c>
      <c r="C23" t="e">
        <v>#VALUE!</v>
      </c>
      <c r="D23" t="e">
        <v>#VALUE!</v>
      </c>
      <c r="E23" t="e">
        <v>#VALUE!</v>
      </c>
      <c r="F23" t="e">
        <v>#VALUE!</v>
      </c>
      <c r="G23" t="e">
        <v>#VALUE!</v>
      </c>
      <c r="H23" t="e">
        <v>#VALUE!</v>
      </c>
      <c r="I23" t="e">
        <v>#VALUE!</v>
      </c>
      <c r="J23" t="e">
        <v>#VALUE!</v>
      </c>
      <c r="K23" t="e">
        <v>#VALUE!</v>
      </c>
      <c r="L23" t="e">
        <v>#VALUE!</v>
      </c>
      <c r="M23" t="str">
        <v xml:space="preserve">             Crossing                        Centreline                     String                         </v>
      </c>
    </row>
    <row r="24" spans="1:13" x14ac:dyDescent="0.25">
      <c r="A24" t="e">
        <v>#VALUE!</v>
      </c>
      <c r="B24" t="e">
        <v>#VALUE!</v>
      </c>
      <c r="C24" t="e">
        <v>#VALUE!</v>
      </c>
      <c r="D24" t="e">
        <v>#VALUE!</v>
      </c>
      <c r="E24" t="e">
        <v>#VALUE!</v>
      </c>
      <c r="F24" t="e">
        <v>#VALUE!</v>
      </c>
      <c r="G24" t="e">
        <v>#VALUE!</v>
      </c>
      <c r="H24" t="e">
        <v>#VALUE!</v>
      </c>
      <c r="I24" t="e">
        <v>#VALUE!</v>
      </c>
      <c r="J24" t="e">
        <v>#VALUE!</v>
      </c>
      <c r="K24" t="e">
        <v>#VALUE!</v>
      </c>
      <c r="L24" t="e">
        <v>#VALUE!</v>
      </c>
      <c r="M24" t="str">
        <v xml:space="preserve">     Easting     Northing    Angle       Chainage     Height     Chainage     Height  Slope%    Name       </v>
      </c>
    </row>
    <row r="25" spans="1:13" x14ac:dyDescent="0.25">
      <c r="A25" t="e">
        <v>#VALUE!</v>
      </c>
      <c r="B25" t="e">
        <v>#VALUE!</v>
      </c>
      <c r="C25" t="e">
        <v>#VALUE!</v>
      </c>
      <c r="D25" t="e">
        <v>#VALUE!</v>
      </c>
      <c r="E25" t="e">
        <v>#VALUE!</v>
      </c>
      <c r="F25" t="e">
        <v>#VALUE!</v>
      </c>
      <c r="G25" t="e">
        <v>#VALUE!</v>
      </c>
      <c r="H25" t="e">
        <v>#VALUE!</v>
      </c>
      <c r="I25" t="e">
        <v>#VALUE!</v>
      </c>
      <c r="J25" t="e">
        <v>#VALUE!</v>
      </c>
      <c r="K25" t="e">
        <v>#VALUE!</v>
      </c>
      <c r="L25" t="e">
        <v>#VALUE!</v>
      </c>
      <c r="M25" t="str">
        <v>-----------------------------------------------------------------------------------------------------------</v>
      </c>
    </row>
    <row r="26" spans="1:13" x14ac:dyDescent="0.25">
      <c r="A26">
        <v>30</v>
      </c>
      <c r="B26">
        <v>33</v>
      </c>
      <c r="C26">
        <v>36</v>
      </c>
      <c r="D26">
        <v>127</v>
      </c>
      <c r="E26">
        <v>0</v>
      </c>
      <c r="F26">
        <v>0</v>
      </c>
      <c r="G26">
        <v>0</v>
      </c>
      <c r="H26">
        <v>0</v>
      </c>
      <c r="I26">
        <v>90</v>
      </c>
      <c r="J26">
        <v>90</v>
      </c>
      <c r="K26" t="str">
        <v>culvert Chinnamon crl low level opt"</v>
      </c>
      <c r="L26" t="str">
        <v>culvert Chinnamon crl low level opt</v>
      </c>
      <c r="M26" t="str">
        <v xml:space="preserve">  687905.490  7671197.460   0° 0' 0"    14750.000    148.510       10.977    147.269   -2.10    "CULVERTS FW Chinnamon option-&gt;culvert Chinnamon crl low level opt"</v>
      </c>
    </row>
    <row r="27" spans="1:13" x14ac:dyDescent="0.25">
      <c r="A27" t="e">
        <v>#VALUE!</v>
      </c>
      <c r="B27" t="e">
        <v>#VALUE!</v>
      </c>
      <c r="C27" t="e">
        <v>#VALUE!</v>
      </c>
      <c r="D27" t="e">
        <v>#VALUE!</v>
      </c>
      <c r="E27" t="e">
        <v>#VALUE!</v>
      </c>
      <c r="F27" t="e">
        <v>#VALUE!</v>
      </c>
      <c r="G27" t="e">
        <v>#VALUE!</v>
      </c>
      <c r="H27" t="e">
        <v>#VALUE!</v>
      </c>
      <c r="I27" t="e">
        <v>#VALUE!</v>
      </c>
      <c r="J27" t="e">
        <v>#VALUE!</v>
      </c>
      <c r="K27" t="e">
        <v>#VALUE!</v>
      </c>
      <c r="L27" t="e">
        <v>#VALUE!</v>
      </c>
      <c r="M27" t="str">
        <v>-----------------------------------------------------------------------------------------------------------</v>
      </c>
    </row>
    <row r="28" spans="1:13" x14ac:dyDescent="0.25">
      <c r="A28" t="e">
        <v>#VALUE!</v>
      </c>
      <c r="B28" t="e">
        <v>#VALUE!</v>
      </c>
      <c r="C28" t="e">
        <v>#VALUE!</v>
      </c>
      <c r="D28" t="e">
        <v>#VALUE!</v>
      </c>
      <c r="E28" t="e">
        <v>#VALUE!</v>
      </c>
      <c r="F28" t="e">
        <v>#VALUE!</v>
      </c>
      <c r="G28" t="e">
        <v>#VALUE!</v>
      </c>
      <c r="H28" t="e">
        <v>#VALUE!</v>
      </c>
      <c r="I28" t="e">
        <v>#VALUE!</v>
      </c>
      <c r="J28" t="e">
        <v>#VALUE!</v>
      </c>
      <c r="K28" t="e">
        <v>#VALUE!</v>
      </c>
      <c r="L28" t="e">
        <v>#VALUE!</v>
      </c>
      <c r="M28" t="str">
        <v>-----------------------------------------------------------------------------------------------------------</v>
      </c>
    </row>
    <row r="29" spans="1:13" x14ac:dyDescent="0.25">
      <c r="A29" t="e">
        <v>#VALUE!</v>
      </c>
      <c r="B29" t="e">
        <v>#VALUE!</v>
      </c>
      <c r="C29">
        <v>21</v>
      </c>
      <c r="D29" t="e">
        <v>#VALUE!</v>
      </c>
      <c r="E29" t="e">
        <v>#VALUE!</v>
      </c>
      <c r="F29" t="e">
        <v>#VALUE!</v>
      </c>
      <c r="G29" t="e">
        <v>#VALUE!</v>
      </c>
      <c r="H29" t="e">
        <v>#VALUE!</v>
      </c>
      <c r="I29" t="e">
        <v>#VALUE!</v>
      </c>
      <c r="J29" t="e">
        <v>#VALUE!</v>
      </c>
      <c r="K29" t="e">
        <v>#VALUE!</v>
      </c>
      <c r="L29" t="e">
        <v>#VALUE!</v>
      </c>
      <c r="M29" t="str">
        <v xml:space="preserve"> Road centre line   "Gillian Creek"</v>
      </c>
    </row>
    <row r="30" spans="1:13" x14ac:dyDescent="0.25">
      <c r="A30" t="e">
        <v>#VALUE!</v>
      </c>
      <c r="B30" t="e">
        <v>#VALUE!</v>
      </c>
      <c r="C30" t="e">
        <v>#VALUE!</v>
      </c>
      <c r="D30" t="e">
        <v>#VALUE!</v>
      </c>
      <c r="E30" t="e">
        <v>#VALUE!</v>
      </c>
      <c r="F30" t="e">
        <v>#VALUE!</v>
      </c>
      <c r="G30" t="e">
        <v>#VALUE!</v>
      </c>
      <c r="H30" t="e">
        <v>#VALUE!</v>
      </c>
      <c r="I30" t="e">
        <v>#VALUE!</v>
      </c>
      <c r="J30" t="e">
        <v>#VALUE!</v>
      </c>
      <c r="K30" t="e">
        <v>#VALUE!</v>
      </c>
      <c r="L30" t="e">
        <v>#VALUE!</v>
      </c>
      <c r="M30" t="str">
        <v>-----------------------------------------------------------------------------------------------------------</v>
      </c>
    </row>
    <row r="31" spans="1:13" x14ac:dyDescent="0.25">
      <c r="A31" t="e">
        <v>#VALUE!</v>
      </c>
      <c r="B31" t="e">
        <v>#VALUE!</v>
      </c>
      <c r="C31" t="e">
        <v>#VALUE!</v>
      </c>
      <c r="D31" t="e">
        <v>#VALUE!</v>
      </c>
      <c r="E31" t="e">
        <v>#VALUE!</v>
      </c>
      <c r="F31" t="e">
        <v>#VALUE!</v>
      </c>
      <c r="G31" t="e">
        <v>#VALUE!</v>
      </c>
      <c r="H31" t="e">
        <v>#VALUE!</v>
      </c>
      <c r="I31" t="e">
        <v>#VALUE!</v>
      </c>
      <c r="J31" t="e">
        <v>#VALUE!</v>
      </c>
      <c r="K31" t="e">
        <v>#VALUE!</v>
      </c>
      <c r="L31" t="e">
        <v>#VALUE!</v>
      </c>
      <c r="M31" t="str">
        <v xml:space="preserve">             Crossing                        Centreline                     String                         </v>
      </c>
    </row>
    <row r="32" spans="1:13" x14ac:dyDescent="0.25">
      <c r="A32" t="e">
        <v>#VALUE!</v>
      </c>
      <c r="B32" t="e">
        <v>#VALUE!</v>
      </c>
      <c r="C32" t="e">
        <v>#VALUE!</v>
      </c>
      <c r="D32" t="e">
        <v>#VALUE!</v>
      </c>
      <c r="E32" t="e">
        <v>#VALUE!</v>
      </c>
      <c r="F32" t="e">
        <v>#VALUE!</v>
      </c>
      <c r="G32" t="e">
        <v>#VALUE!</v>
      </c>
      <c r="H32" t="e">
        <v>#VALUE!</v>
      </c>
      <c r="I32" t="e">
        <v>#VALUE!</v>
      </c>
      <c r="J32" t="e">
        <v>#VALUE!</v>
      </c>
      <c r="K32" t="e">
        <v>#VALUE!</v>
      </c>
      <c r="L32" t="e">
        <v>#VALUE!</v>
      </c>
      <c r="M32" t="str">
        <v xml:space="preserve">     Easting     Northing    Angle       Chainage     Height     Chainage     Height  Slope%    Name       </v>
      </c>
    </row>
    <row r="33" spans="1:13" x14ac:dyDescent="0.25">
      <c r="A33" t="e">
        <v>#VALUE!</v>
      </c>
      <c r="B33" t="e">
        <v>#VALUE!</v>
      </c>
      <c r="C33" t="e">
        <v>#VALUE!</v>
      </c>
      <c r="D33" t="e">
        <v>#VALUE!</v>
      </c>
      <c r="E33" t="e">
        <v>#VALUE!</v>
      </c>
      <c r="F33" t="e">
        <v>#VALUE!</v>
      </c>
      <c r="G33" t="e">
        <v>#VALUE!</v>
      </c>
      <c r="H33" t="e">
        <v>#VALUE!</v>
      </c>
      <c r="I33" t="e">
        <v>#VALUE!</v>
      </c>
      <c r="J33" t="e">
        <v>#VALUE!</v>
      </c>
      <c r="K33" t="e">
        <v>#VALUE!</v>
      </c>
      <c r="L33" t="e">
        <v>#VALUE!</v>
      </c>
      <c r="M33" t="str">
        <v>-----------------------------------------------------------------------------------------------------------</v>
      </c>
    </row>
    <row r="34" spans="1:13" x14ac:dyDescent="0.25">
      <c r="A34">
        <v>30</v>
      </c>
      <c r="B34">
        <v>33</v>
      </c>
      <c r="C34">
        <v>36</v>
      </c>
      <c r="D34">
        <v>110</v>
      </c>
      <c r="E34">
        <v>16</v>
      </c>
      <c r="F34">
        <v>44</v>
      </c>
      <c r="G34">
        <v>37</v>
      </c>
      <c r="H34">
        <v>16.743611111111111</v>
      </c>
      <c r="I34">
        <v>106.74361111111111</v>
      </c>
      <c r="J34">
        <v>106.74361111111111</v>
      </c>
      <c r="K34" t="str">
        <v>culvert Gillam crk 001"</v>
      </c>
      <c r="L34" t="str">
        <v>culvert Gillam crk 001</v>
      </c>
      <c r="M34" t="str">
        <v xml:space="preserve">  682975.952  7669843.586  16°44'37"     9393.431    138.600        7.684    137.682   -1.53    "CULVERTS FW-&gt;culvert Gillam crk 001"</v>
      </c>
    </row>
    <row r="35" spans="1:13" x14ac:dyDescent="0.25">
      <c r="A35" t="e">
        <v>#VALUE!</v>
      </c>
      <c r="B35" t="e">
        <v>#VALUE!</v>
      </c>
      <c r="C35" t="e">
        <v>#VALUE!</v>
      </c>
      <c r="D35" t="e">
        <v>#VALUE!</v>
      </c>
      <c r="E35" t="e">
        <v>#VALUE!</v>
      </c>
      <c r="F35" t="e">
        <v>#VALUE!</v>
      </c>
      <c r="G35" t="e">
        <v>#VALUE!</v>
      </c>
      <c r="H35" t="e">
        <v>#VALUE!</v>
      </c>
      <c r="I35" t="e">
        <v>#VALUE!</v>
      </c>
      <c r="J35" t="e">
        <v>#VALUE!</v>
      </c>
      <c r="K35" t="e">
        <v>#VALUE!</v>
      </c>
      <c r="L35" t="e">
        <v>#VALUE!</v>
      </c>
      <c r="M35" t="str">
        <v>-----------------------------------------------------------------------------------------------------------</v>
      </c>
    </row>
    <row r="36" spans="1:13" x14ac:dyDescent="0.25">
      <c r="A36" t="e">
        <v>#VALUE!</v>
      </c>
      <c r="B36" t="e">
        <v>#VALUE!</v>
      </c>
      <c r="C36" t="e">
        <v>#VALUE!</v>
      </c>
      <c r="D36" t="e">
        <v>#VALUE!</v>
      </c>
      <c r="E36" t="e">
        <v>#VALUE!</v>
      </c>
      <c r="F36" t="e">
        <v>#VALUE!</v>
      </c>
      <c r="G36" t="e">
        <v>#VALUE!</v>
      </c>
      <c r="H36" t="e">
        <v>#VALUE!</v>
      </c>
      <c r="I36" t="e">
        <v>#VALUE!</v>
      </c>
      <c r="J36" t="e">
        <v>#VALUE!</v>
      </c>
      <c r="K36" t="e">
        <v>#VALUE!</v>
      </c>
      <c r="L36" t="e">
        <v>#VALUE!</v>
      </c>
      <c r="M36" t="str">
        <v>-----------------------------------------------------------------------------------------------------------</v>
      </c>
    </row>
    <row r="37" spans="1:13" x14ac:dyDescent="0.25">
      <c r="A37" t="e">
        <v>#VALUE!</v>
      </c>
      <c r="B37" t="e">
        <v>#VALUE!</v>
      </c>
      <c r="C37">
        <v>21</v>
      </c>
      <c r="D37" t="e">
        <v>#VALUE!</v>
      </c>
      <c r="E37" t="e">
        <v>#VALUE!</v>
      </c>
      <c r="F37" t="e">
        <v>#VALUE!</v>
      </c>
      <c r="G37" t="e">
        <v>#VALUE!</v>
      </c>
      <c r="H37" t="e">
        <v>#VALUE!</v>
      </c>
      <c r="I37" t="e">
        <v>#VALUE!</v>
      </c>
      <c r="J37" t="e">
        <v>#VALUE!</v>
      </c>
      <c r="K37" t="e">
        <v>#VALUE!</v>
      </c>
      <c r="L37" t="e">
        <v>#VALUE!</v>
      </c>
      <c r="M37" t="str">
        <v xml:space="preserve"> Road centre line   "Turner River West"</v>
      </c>
    </row>
    <row r="38" spans="1:13" x14ac:dyDescent="0.25">
      <c r="A38" t="e">
        <v>#VALUE!</v>
      </c>
      <c r="B38" t="e">
        <v>#VALUE!</v>
      </c>
      <c r="C38" t="e">
        <v>#VALUE!</v>
      </c>
      <c r="D38" t="e">
        <v>#VALUE!</v>
      </c>
      <c r="E38" t="e">
        <v>#VALUE!</v>
      </c>
      <c r="F38" t="e">
        <v>#VALUE!</v>
      </c>
      <c r="G38" t="e">
        <v>#VALUE!</v>
      </c>
      <c r="H38" t="e">
        <v>#VALUE!</v>
      </c>
      <c r="I38" t="e">
        <v>#VALUE!</v>
      </c>
      <c r="J38" t="e">
        <v>#VALUE!</v>
      </c>
      <c r="K38" t="e">
        <v>#VALUE!</v>
      </c>
      <c r="L38" t="e">
        <v>#VALUE!</v>
      </c>
      <c r="M38" t="str">
        <v>-----------------------------------------------------------------------------------------------------------</v>
      </c>
    </row>
    <row r="39" spans="1:13" x14ac:dyDescent="0.25">
      <c r="A39" t="e">
        <v>#VALUE!</v>
      </c>
      <c r="B39" t="e">
        <v>#VALUE!</v>
      </c>
      <c r="C39" t="e">
        <v>#VALUE!</v>
      </c>
      <c r="D39" t="e">
        <v>#VALUE!</v>
      </c>
      <c r="E39" t="e">
        <v>#VALUE!</v>
      </c>
      <c r="F39" t="e">
        <v>#VALUE!</v>
      </c>
      <c r="G39" t="e">
        <v>#VALUE!</v>
      </c>
      <c r="H39" t="e">
        <v>#VALUE!</v>
      </c>
      <c r="I39" t="e">
        <v>#VALUE!</v>
      </c>
      <c r="J39" t="e">
        <v>#VALUE!</v>
      </c>
      <c r="K39" t="e">
        <v>#VALUE!</v>
      </c>
      <c r="L39" t="e">
        <v>#VALUE!</v>
      </c>
      <c r="M39" t="str">
        <v xml:space="preserve">             Crossing                        Centreline                     String                         </v>
      </c>
    </row>
    <row r="40" spans="1:13" x14ac:dyDescent="0.25">
      <c r="A40" t="e">
        <v>#VALUE!</v>
      </c>
      <c r="B40" t="e">
        <v>#VALUE!</v>
      </c>
      <c r="C40" t="e">
        <v>#VALUE!</v>
      </c>
      <c r="D40" t="e">
        <v>#VALUE!</v>
      </c>
      <c r="E40" t="e">
        <v>#VALUE!</v>
      </c>
      <c r="F40" t="e">
        <v>#VALUE!</v>
      </c>
      <c r="G40" t="e">
        <v>#VALUE!</v>
      </c>
      <c r="H40" t="e">
        <v>#VALUE!</v>
      </c>
      <c r="I40" t="e">
        <v>#VALUE!</v>
      </c>
      <c r="J40" t="e">
        <v>#VALUE!</v>
      </c>
      <c r="K40" t="e">
        <v>#VALUE!</v>
      </c>
      <c r="L40" t="e">
        <v>#VALUE!</v>
      </c>
      <c r="M40" t="str">
        <v xml:space="preserve">     Easting     Northing    Angle       Chainage     Height     Chainage     Height  Slope%    Name       </v>
      </c>
    </row>
    <row r="41" spans="1:13" x14ac:dyDescent="0.25">
      <c r="A41" t="e">
        <v>#VALUE!</v>
      </c>
      <c r="B41" t="e">
        <v>#VALUE!</v>
      </c>
      <c r="C41" t="e">
        <v>#VALUE!</v>
      </c>
      <c r="D41" t="e">
        <v>#VALUE!</v>
      </c>
      <c r="E41" t="e">
        <v>#VALUE!</v>
      </c>
      <c r="F41" t="e">
        <v>#VALUE!</v>
      </c>
      <c r="G41" t="e">
        <v>#VALUE!</v>
      </c>
      <c r="H41" t="e">
        <v>#VALUE!</v>
      </c>
      <c r="I41" t="e">
        <v>#VALUE!</v>
      </c>
      <c r="J41" t="e">
        <v>#VALUE!</v>
      </c>
      <c r="K41" t="e">
        <v>#VALUE!</v>
      </c>
      <c r="L41" t="e">
        <v>#VALUE!</v>
      </c>
      <c r="M41" t="str">
        <v>-----------------------------------------------------------------------------------------------------------</v>
      </c>
    </row>
    <row r="42" spans="1:13" x14ac:dyDescent="0.25">
      <c r="A42">
        <v>30</v>
      </c>
      <c r="B42">
        <v>33</v>
      </c>
      <c r="C42">
        <v>36</v>
      </c>
      <c r="D42">
        <v>110</v>
      </c>
      <c r="E42">
        <v>0</v>
      </c>
      <c r="F42">
        <v>0</v>
      </c>
      <c r="G42">
        <v>0</v>
      </c>
      <c r="H42">
        <v>0</v>
      </c>
      <c r="I42">
        <v>90</v>
      </c>
      <c r="J42">
        <v>90</v>
      </c>
      <c r="K42" t="str">
        <v>culvert turner river west 002"</v>
      </c>
      <c r="L42" t="str">
        <v>culvert turner river west 002</v>
      </c>
      <c r="M42" t="str">
        <v xml:space="preserve">  678169.439  7664130.160   0° 0' 0"     1820.000    142.108        9.614    141.756   -1.49    "CULVERTS FW-&gt;culvert turner river west 002"</v>
      </c>
    </row>
    <row r="43" spans="1:13" x14ac:dyDescent="0.25">
      <c r="A43" t="e">
        <v>#VALUE!</v>
      </c>
      <c r="B43" t="e">
        <v>#VALUE!</v>
      </c>
      <c r="C43" t="e">
        <v>#VALUE!</v>
      </c>
      <c r="D43" t="e">
        <v>#VALUE!</v>
      </c>
      <c r="E43" t="e">
        <v>#VALUE!</v>
      </c>
      <c r="F43" t="e">
        <v>#VALUE!</v>
      </c>
      <c r="G43" t="e">
        <v>#VALUE!</v>
      </c>
      <c r="H43" t="e">
        <v>#VALUE!</v>
      </c>
      <c r="I43" t="e">
        <v>#VALUE!</v>
      </c>
      <c r="J43" t="e">
        <v>#VALUE!</v>
      </c>
      <c r="K43" t="e">
        <v>#VALUE!</v>
      </c>
      <c r="L43" t="e">
        <v>#VALUE!</v>
      </c>
      <c r="M43" t="str">
        <v>-----------------------------------------------------------------------------------------------------------</v>
      </c>
    </row>
    <row r="44" spans="1:13" x14ac:dyDescent="0.25">
      <c r="A44" t="e">
        <v>#VALUE!</v>
      </c>
      <c r="B44" t="e">
        <v>#VALUE!</v>
      </c>
      <c r="C44" t="e">
        <v>#VALUE!</v>
      </c>
      <c r="D44" t="e">
        <v>#VALUE!</v>
      </c>
      <c r="E44" t="e">
        <v>#VALUE!</v>
      </c>
      <c r="F44" t="e">
        <v>#VALUE!</v>
      </c>
      <c r="G44" t="e">
        <v>#VALUE!</v>
      </c>
      <c r="H44" t="e">
        <v>#VALUE!</v>
      </c>
      <c r="I44" t="e">
        <v>#VALUE!</v>
      </c>
      <c r="J44" t="e">
        <v>#VALUE!</v>
      </c>
      <c r="K44" t="e">
        <v>#VALUE!</v>
      </c>
      <c r="L44" t="e">
        <v>#VALUE!</v>
      </c>
      <c r="M44" t="str">
        <v>-----------------------------------------------------------------------------------------------------------</v>
      </c>
    </row>
    <row r="45" spans="1:13" x14ac:dyDescent="0.25">
      <c r="A45" t="e">
        <v>#VALUE!</v>
      </c>
      <c r="B45" t="e">
        <v>#VALUE!</v>
      </c>
      <c r="C45">
        <v>21</v>
      </c>
      <c r="D45" t="e">
        <v>#VALUE!</v>
      </c>
      <c r="E45" t="e">
        <v>#VALUE!</v>
      </c>
      <c r="F45" t="e">
        <v>#VALUE!</v>
      </c>
      <c r="G45" t="e">
        <v>#VALUE!</v>
      </c>
      <c r="H45" t="e">
        <v>#VALUE!</v>
      </c>
      <c r="I45" t="e">
        <v>#VALUE!</v>
      </c>
      <c r="J45" t="e">
        <v>#VALUE!</v>
      </c>
      <c r="K45" t="e">
        <v>#VALUE!</v>
      </c>
      <c r="L45" t="e">
        <v>#VALUE!</v>
      </c>
      <c r="M45" t="str">
        <v xml:space="preserve"> Road centre line   "Turner River"</v>
      </c>
    </row>
    <row r="46" spans="1:13" x14ac:dyDescent="0.25">
      <c r="A46" t="e">
        <v>#VALUE!</v>
      </c>
      <c r="B46" t="e">
        <v>#VALUE!</v>
      </c>
      <c r="C46" t="e">
        <v>#VALUE!</v>
      </c>
      <c r="D46" t="e">
        <v>#VALUE!</v>
      </c>
      <c r="E46" t="e">
        <v>#VALUE!</v>
      </c>
      <c r="F46" t="e">
        <v>#VALUE!</v>
      </c>
      <c r="G46" t="e">
        <v>#VALUE!</v>
      </c>
      <c r="H46" t="e">
        <v>#VALUE!</v>
      </c>
      <c r="I46" t="e">
        <v>#VALUE!</v>
      </c>
      <c r="J46" t="e">
        <v>#VALUE!</v>
      </c>
      <c r="K46" t="e">
        <v>#VALUE!</v>
      </c>
      <c r="L46" t="e">
        <v>#VALUE!</v>
      </c>
      <c r="M46" t="str">
        <v>-----------------------------------------------------------------------------------------------------------</v>
      </c>
    </row>
    <row r="47" spans="1:13" x14ac:dyDescent="0.25">
      <c r="A47" t="e">
        <v>#VALUE!</v>
      </c>
      <c r="B47" t="e">
        <v>#VALUE!</v>
      </c>
      <c r="C47" t="e">
        <v>#VALUE!</v>
      </c>
      <c r="D47" t="e">
        <v>#VALUE!</v>
      </c>
      <c r="E47" t="e">
        <v>#VALUE!</v>
      </c>
      <c r="F47" t="e">
        <v>#VALUE!</v>
      </c>
      <c r="G47" t="e">
        <v>#VALUE!</v>
      </c>
      <c r="H47" t="e">
        <v>#VALUE!</v>
      </c>
      <c r="I47" t="e">
        <v>#VALUE!</v>
      </c>
      <c r="J47" t="e">
        <v>#VALUE!</v>
      </c>
      <c r="K47" t="e">
        <v>#VALUE!</v>
      </c>
      <c r="L47" t="e">
        <v>#VALUE!</v>
      </c>
      <c r="M47" t="str">
        <v xml:space="preserve">             Crossing                        Centreline                     String                         </v>
      </c>
    </row>
    <row r="48" spans="1:13" x14ac:dyDescent="0.25">
      <c r="A48" t="e">
        <v>#VALUE!</v>
      </c>
      <c r="B48" t="e">
        <v>#VALUE!</v>
      </c>
      <c r="C48" t="e">
        <v>#VALUE!</v>
      </c>
      <c r="D48" t="e">
        <v>#VALUE!</v>
      </c>
      <c r="E48" t="e">
        <v>#VALUE!</v>
      </c>
      <c r="F48" t="e">
        <v>#VALUE!</v>
      </c>
      <c r="G48" t="e">
        <v>#VALUE!</v>
      </c>
      <c r="H48" t="e">
        <v>#VALUE!</v>
      </c>
      <c r="I48" t="e">
        <v>#VALUE!</v>
      </c>
      <c r="J48" t="e">
        <v>#VALUE!</v>
      </c>
      <c r="K48" t="e">
        <v>#VALUE!</v>
      </c>
      <c r="L48" t="e">
        <v>#VALUE!</v>
      </c>
      <c r="M48" t="str">
        <v xml:space="preserve">     Easting     Northing    Angle       Chainage     Height     Chainage     Height  Slope%    Name       </v>
      </c>
    </row>
    <row r="49" spans="1:13" x14ac:dyDescent="0.25">
      <c r="A49" t="e">
        <v>#VALUE!</v>
      </c>
      <c r="B49" t="e">
        <v>#VALUE!</v>
      </c>
      <c r="C49" t="e">
        <v>#VALUE!</v>
      </c>
      <c r="D49" t="e">
        <v>#VALUE!</v>
      </c>
      <c r="E49" t="e">
        <v>#VALUE!</v>
      </c>
      <c r="F49" t="e">
        <v>#VALUE!</v>
      </c>
      <c r="G49" t="e">
        <v>#VALUE!</v>
      </c>
      <c r="H49" t="e">
        <v>#VALUE!</v>
      </c>
      <c r="I49" t="e">
        <v>#VALUE!</v>
      </c>
      <c r="J49" t="e">
        <v>#VALUE!</v>
      </c>
      <c r="K49" t="e">
        <v>#VALUE!</v>
      </c>
      <c r="L49" t="e">
        <v>#VALUE!</v>
      </c>
      <c r="M49" t="str">
        <v>-----------------------------------------------------------------------------------------------------------</v>
      </c>
    </row>
    <row r="50" spans="1:13" x14ac:dyDescent="0.25">
      <c r="A50">
        <v>30</v>
      </c>
      <c r="B50">
        <v>33</v>
      </c>
      <c r="C50">
        <v>36</v>
      </c>
      <c r="D50">
        <v>110</v>
      </c>
      <c r="E50">
        <v>0</v>
      </c>
      <c r="F50">
        <v>0</v>
      </c>
      <c r="G50">
        <v>0</v>
      </c>
      <c r="H50">
        <v>0</v>
      </c>
      <c r="I50">
        <v>90</v>
      </c>
      <c r="J50">
        <v>90</v>
      </c>
      <c r="K50" t="str">
        <v>culvert turner river 001"</v>
      </c>
      <c r="L50" t="str">
        <v>culvert turner river 001</v>
      </c>
      <c r="M50" t="str">
        <v xml:space="preserve">  681184.230  7667352.973   0° 0' 0"     6240.000    139.209       20.035    137.449   -0.26    "CULVERTS FW-&gt;culvert turner river 001"</v>
      </c>
    </row>
    <row r="51" spans="1:13" x14ac:dyDescent="0.25">
      <c r="A51">
        <v>30</v>
      </c>
      <c r="B51">
        <v>33</v>
      </c>
      <c r="C51">
        <v>36</v>
      </c>
      <c r="D51">
        <v>110</v>
      </c>
      <c r="E51">
        <v>10</v>
      </c>
      <c r="F51">
        <v>40</v>
      </c>
      <c r="G51">
        <v>25</v>
      </c>
      <c r="H51">
        <v>10.673611111111111</v>
      </c>
      <c r="I51">
        <v>100.67361111111111</v>
      </c>
      <c r="J51">
        <v>100.67361111111111</v>
      </c>
      <c r="K51" t="str">
        <v>culvert turner river 002"</v>
      </c>
      <c r="L51" t="str">
        <v>culvert turner river 002</v>
      </c>
      <c r="M51" t="str">
        <v xml:space="preserve">  680778.666  7666804.650  10°40'25"     5557.988    139.200       16.133    137.880   -0.74    "CULVERTS FW-&gt;culvert turner river 002"</v>
      </c>
    </row>
    <row r="52" spans="1:13" x14ac:dyDescent="0.25">
      <c r="A52" t="e">
        <v>#VALUE!</v>
      </c>
      <c r="B52" t="e">
        <v>#VALUE!</v>
      </c>
      <c r="C52" t="e">
        <v>#VALUE!</v>
      </c>
      <c r="D52" t="e">
        <v>#VALUE!</v>
      </c>
      <c r="E52" t="e">
        <v>#VALUE!</v>
      </c>
      <c r="F52" t="e">
        <v>#VALUE!</v>
      </c>
      <c r="G52" t="e">
        <v>#VALUE!</v>
      </c>
      <c r="H52" t="e">
        <v>#VALUE!</v>
      </c>
      <c r="I52" t="e">
        <v>#VALUE!</v>
      </c>
      <c r="J52" t="e">
        <v>#VALUE!</v>
      </c>
      <c r="K52" t="e">
        <v>#VALUE!</v>
      </c>
      <c r="L52" t="e">
        <v>#VALUE!</v>
      </c>
      <c r="M52" t="str">
        <v>-----------------------------------------------------------------------------------------------------------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N1396"/>
  <sheetViews>
    <sheetView workbookViewId="0">
      <selection activeCell="B4" sqref="B4"/>
    </sheetView>
  </sheetViews>
  <sheetFormatPr defaultRowHeight="15" x14ac:dyDescent="0.25"/>
  <cols>
    <col min="2" max="2" width="26.85546875" bestFit="1" customWidth="1"/>
    <col min="3" max="3" width="14.5703125" bestFit="1" customWidth="1"/>
    <col min="7" max="7" width="11.140625" bestFit="1" customWidth="1"/>
    <col min="8" max="9" width="11.140625" customWidth="1"/>
    <col min="11" max="11" width="8.85546875"/>
    <col min="12" max="12" width="11" bestFit="1" customWidth="1"/>
    <col min="13" max="13" width="12.140625" bestFit="1" customWidth="1"/>
    <col min="15" max="15" width="15.42578125" bestFit="1" customWidth="1"/>
    <col min="22" max="22" width="9.140625" style="7"/>
    <col min="23" max="23" width="41" bestFit="1" customWidth="1"/>
    <col min="24" max="24" width="11.85546875" customWidth="1"/>
    <col min="26" max="26" width="15.7109375" bestFit="1" customWidth="1"/>
    <col min="28" max="28" width="32.85546875" bestFit="1" customWidth="1"/>
    <col min="32" max="33" width="7.5703125" customWidth="1"/>
    <col min="34" max="34" width="11" customWidth="1"/>
    <col min="39" max="40" width="26.85546875" bestFit="1" customWidth="1"/>
  </cols>
  <sheetData>
    <row r="1" spans="1:40" x14ac:dyDescent="0.25">
      <c r="B1" s="3"/>
      <c r="C1" s="14" t="str" cm="1">
        <f t="array" aca="1" ref="C1" ca="1">IF(COUNTA(_xlfn.UNIQUE(_xlfn.ANCHORARRAY(B4)&amp;_xlfn.ANCHORARRAY(C4)))&lt;COUNTA(_xlfn.ANCHORARRAY(C4)),"DUPLICATES","")</f>
        <v>DUPLICATES</v>
      </c>
      <c r="W1" t="s">
        <v>169</v>
      </c>
      <c r="Z1" s="16" t="s">
        <v>291</v>
      </c>
      <c r="AA1" s="16"/>
      <c r="AB1" s="16" t="s">
        <v>292</v>
      </c>
      <c r="AM1" t="s">
        <v>216</v>
      </c>
      <c r="AN1" t="s">
        <v>217</v>
      </c>
    </row>
    <row r="2" spans="1:40" x14ac:dyDescent="0.25">
      <c r="B2" t="s">
        <v>108</v>
      </c>
      <c r="C2" t="s">
        <v>109</v>
      </c>
      <c r="D2" s="10"/>
      <c r="E2" t="s">
        <v>118</v>
      </c>
      <c r="F2" t="s">
        <v>119</v>
      </c>
      <c r="G2" t="s">
        <v>122</v>
      </c>
      <c r="H2" t="s">
        <v>120</v>
      </c>
      <c r="I2" t="s">
        <v>121</v>
      </c>
      <c r="K2" t="s">
        <v>121</v>
      </c>
      <c r="L2" t="s">
        <v>112</v>
      </c>
      <c r="M2" t="s">
        <v>113</v>
      </c>
      <c r="T2" t="s">
        <v>117</v>
      </c>
      <c r="AM2" t="str" cm="1">
        <f t="array" aca="1" ref="AM2:AM31" ca="1">_xlfn._xlws.SORT(_xlfn.UNIQUE(_xlfn.ANCHORARRAY(B4)))</f>
        <v>R-1</v>
      </c>
      <c r="AN2" t="str" cm="1">
        <f t="array" aca="1" ref="AN2:AN31" ca="1">_xlfn.ANCHORARRAY(AM2)</f>
        <v>R-1</v>
      </c>
    </row>
    <row r="3" spans="1:40" x14ac:dyDescent="0.25">
      <c r="A3" t="s">
        <v>91</v>
      </c>
      <c r="B3" t="s">
        <v>0</v>
      </c>
      <c r="C3" s="3" t="s">
        <v>151</v>
      </c>
      <c r="D3" t="s">
        <v>5</v>
      </c>
      <c r="E3" t="s">
        <v>1</v>
      </c>
      <c r="F3" t="s">
        <v>2</v>
      </c>
      <c r="G3" t="s">
        <v>3</v>
      </c>
      <c r="H3" t="s">
        <v>185</v>
      </c>
      <c r="I3" t="s">
        <v>186</v>
      </c>
      <c r="J3" t="s">
        <v>4</v>
      </c>
      <c r="K3" t="s">
        <v>84</v>
      </c>
      <c r="L3" t="s">
        <v>6</v>
      </c>
      <c r="M3" t="s">
        <v>7</v>
      </c>
      <c r="N3" t="s">
        <v>8</v>
      </c>
      <c r="O3" t="s">
        <v>78</v>
      </c>
      <c r="P3" t="s">
        <v>79</v>
      </c>
      <c r="Q3" t="s">
        <v>80</v>
      </c>
      <c r="R3" t="s">
        <v>81</v>
      </c>
      <c r="S3" t="s">
        <v>82</v>
      </c>
      <c r="T3" t="s">
        <v>36</v>
      </c>
      <c r="U3" t="s">
        <v>147</v>
      </c>
      <c r="V3" s="6" t="s">
        <v>97</v>
      </c>
      <c r="W3" s="4" t="s">
        <v>101</v>
      </c>
      <c r="X3" s="4" t="s">
        <v>167</v>
      </c>
      <c r="Z3" s="8"/>
      <c r="AM3" t="str">
        <f ca="1"/>
        <v>R-10</v>
      </c>
      <c r="AN3" t="str">
        <f ca="1"/>
        <v>R-10</v>
      </c>
    </row>
    <row r="4" spans="1:40" x14ac:dyDescent="0.25">
      <c r="A4" cm="1">
        <f t="array" aca="1" ref="A4:A63" ca="1">IF($AB$1="1d_nwk",_xlfn.ANCHORARRAY('PointsTidy -from 1dnwk'!A4),_xlfn.ANCHORARRAY('PointsTidy - 12D'!A4))</f>
        <v>1</v>
      </c>
      <c r="B4" t="str" cm="1">
        <f t="array" aca="1" ref="B4:B63" ca="1">IF($AB$1="1d_nwk",_xlfn.ANCHORARRAY('PointsTidy -from 1dnwk'!B4),_xlfn.ANCHORARRAY('PointsTidy - 12D'!B4))</f>
        <v>R-1</v>
      </c>
      <c r="C4" t="str" cm="1">
        <f t="array" aca="1" ref="C4:C63" ca="1">IF($AB$1="1d_nwk",_xlfn.ANCHORARRAY('PointsTidy -from 1dnwk'!C4),_xlfn.ANCHORARRAY('PointsTidy - 12D'!C4))</f>
        <v>R-1</v>
      </c>
      <c r="D4" cm="1">
        <f t="array" aca="1" ref="D4:D63" ca="1">IF($AB$1="1d_nwk",_xlfn.ANCHORARRAY('PointsTidy -from 1dnwk'!D4),_xlfn.ANCHORARRAY('PointsTidy - 12D'!D4))</f>
        <v>1</v>
      </c>
      <c r="E4" cm="1">
        <f t="array" aca="1" ref="E4:E63" ca="1">IF($AB$1="1d_nwk",_xlfn.ANCHORARRAY('PointsTidy -from 1dnwk'!E4),_xlfn.ANCHORARRAY('PointsTidy - 12D'!E4))</f>
        <v>398.32244873046801</v>
      </c>
      <c r="F4" cm="1">
        <f t="array" aca="1" ref="F4:F63" ca="1">IF($AB$1="1d_nwk",_xlfn.ANCHORARRAY('PointsTidy -from 1dnwk'!F4),_xlfn.ANCHORARRAY('PointsTidy - 12D'!F4))</f>
        <v>395.86798095703102</v>
      </c>
      <c r="G4" cm="1">
        <f t="array" aca="1" ref="G4:G63" ca="1">IF($AB$1="1d_nwk",_xlfn.ANCHORARRAY('PointsTidy -from 1dnwk'!G4),_xlfn.ANCHORARRAY('PointsTidy - 12D'!G4))</f>
        <v>5</v>
      </c>
      <c r="H4" t="str" cm="1">
        <f t="array" aca="1" ref="H4:H63" ca="1">IF($AB$1="1d_nwk",_xlfn.ANCHORARRAY('PointsTidy -from 1dnwk'!H4),_xlfn.ANCHORARRAY('PointsTidy - 12D'!H4))</f>
        <v>MultiLineString ((687316.367809071787633 7565096.3571438966318965, 687240.47098323528189212 7565130.91730566136538982))</v>
      </c>
      <c r="I4" cm="1">
        <f t="array" aca="1" ref="I4:I63" ca="1">IF($AB$1="1d_nwk",_xlfn.ANCHORARRAY('PointsTidy -from 1dnwk'!I4),_xlfn.ANCHORARRAY('PointsTidy - 12D'!I4))</f>
        <v>1.5</v>
      </c>
      <c r="J4" cm="1">
        <f t="array" aca="1" ref="J4:J63" ca="1">IF($AB$1="1d_nwk",_xlfn.ANCHORARRAY('PointsTidy -from 1dnwk'!J4),_xlfn.ANCHORARRAY('PointsTidy - 12D'!J4))</f>
        <v>1.5</v>
      </c>
      <c r="K4" cm="1">
        <f t="array" aca="1" ref="K4:K63" ca="1">IF($AB$1="1d_nwk",_xlfn.ANCHORARRAY('PointsTidy -from 1dnwk'!K4),_xlfn.ANCHORARRAY('PointsTidy - 12D'!K4))</f>
        <v>0</v>
      </c>
      <c r="L4" cm="1">
        <f t="array" aca="1" ref="L4:L63" ca="1">IF($AB$1="1d_nwk",_xlfn.ANCHORARRAY('PointsTidy -from 1dnwk'!L4),_xlfn.ANCHORARRAY('PointsTidy - 12D'!L4))</f>
        <v>687240.47098323505</v>
      </c>
      <c r="M4" cm="1">
        <f t="array" aca="1" ref="M4:M63" ca="1">IF($AB$1="1d_nwk",_xlfn.ANCHORARRAY('PointsTidy -from 1dnwk'!M4),_xlfn.ANCHORARRAY('PointsTidy - 12D'!M4))</f>
        <v>7565130.9173056604</v>
      </c>
      <c r="N4" cm="1">
        <f t="array" aca="1" ref="N4:N63" ca="1">IF($AB$1="1d_nwk",_xlfn.ANCHORARRAY('PointsTidy -from 1dnwk'!N4),_xlfn.ANCHORARRAY('PointsTidy - 12D'!N4))</f>
        <v>398.32244873046801</v>
      </c>
      <c r="O4" cm="1">
        <f t="array" aca="1" ref="O4:O63" ca="1">IF($AB$1="1d_nwk",_xlfn.ANCHORARRAY('PointsTidy -from 1dnwk'!O4),_xlfn.ANCHORARRAY('PointsTidy - 12D'!O4))</f>
        <v>83.395041540605504</v>
      </c>
      <c r="P4" cm="1">
        <f t="array" aca="1" ref="P4:P63" ca="1">IF($AB$1="1d_nwk",_xlfn.ANCHORARRAY('PointsTidy -from 1dnwk'!P4),_xlfn.ANCHORARRAY('PointsTidy - 12D'!P4))</f>
        <v>83.395041540605504</v>
      </c>
      <c r="Q4" cm="1">
        <f t="array" aca="1" ref="Q4:Q63" ca="1">IF($AB$1="1d_nwk",_xlfn.ANCHORARRAY('PointsTidy -from 1dnwk'!Q4),_xlfn.ANCHORARRAY('PointsTidy - 12D'!Q4))</f>
        <v>75.896825835923664</v>
      </c>
      <c r="R4" cm="1">
        <f t="array" aca="1" ref="R4:R63" ca="1">IF($AB$1="1d_nwk",_xlfn.ANCHORARRAY('PointsTidy -from 1dnwk'!R4),_xlfn.ANCHORARRAY('PointsTidy - 12D'!R4))</f>
        <v>-34.560161770321429</v>
      </c>
      <c r="S4" cm="1">
        <f t="array" aca="1" ref="S4:S63" ca="1">IF($AB$1="1d_nwk",_xlfn.ANCHORARRAY('PointsTidy -from 1dnwk'!S4),_xlfn.ANCHORARRAY('PointsTidy - 12D'!S4))</f>
        <v>-2.4544677734369884</v>
      </c>
      <c r="T4" t="str" cm="1">
        <f t="array" aca="1" ref="T4:T63" ca="1">IF($AB$1="1d_nwk",_xlfn.ANCHORARRAY('PointsTidy -from 1dnwk'!T4),_xlfn.ANCHORARRAY('PointsTidy - 12D'!T4))</f>
        <v>C</v>
      </c>
      <c r="U4" cm="1">
        <f t="array" aca="1" ref="U4:U63" ca="1">IF($AB$1="1d_nwk",_xlfn.ANCHORARRAY('PointsTidy -from 1dnwk'!U4),_xlfn.ANCHORARRAY('PointsTidy - 12D'!U4))</f>
        <v>2.4E-2</v>
      </c>
      <c r="V4" cm="1">
        <f t="array" aca="1" ref="V4:V63" ca="1">IF($AB$1="1d_nwk",_xlfn.ANCHORARRAY('PointsTidy -from 1dnwk'!V4),_xlfn.ANCHORARRAY('PointsTidy - 12D'!V4))</f>
        <v>90</v>
      </c>
      <c r="W4" t="str" cm="1">
        <f t="array" aca="1" ref="W4:W63" ca="1">IF(_xlfn.ANCHORARRAY(A4),VLOOKUP(_xlfn.ANCHORARRAY(B4),AM:AN,2,0))</f>
        <v>R-1</v>
      </c>
      <c r="X4" t="str" cm="1">
        <f t="array" aca="1" ref="X4:X63" ca="1">IF($AB$1="1d_nwk",_xlfn.ANCHORARRAY('PointsTidy -from 1dnwk'!X4),_xlfn.ANCHORARRAY('PointsTidy - 12D'!X4))</f>
        <v>C</v>
      </c>
      <c r="AM4" t="str">
        <f ca="1"/>
        <v>R-10b</v>
      </c>
      <c r="AN4" t="str">
        <f ca="1"/>
        <v>R-10b</v>
      </c>
    </row>
    <row r="5" spans="1:40" x14ac:dyDescent="0.25">
      <c r="A5">
        <f ca="1"/>
        <v>1</v>
      </c>
      <c r="B5" s="3" t="str">
        <f ca="1"/>
        <v>R-1</v>
      </c>
      <c r="C5" t="str">
        <f ca="1"/>
        <v>R-1</v>
      </c>
      <c r="D5">
        <f ca="1"/>
        <v>0</v>
      </c>
      <c r="E5">
        <f ca="1"/>
        <v>398.32244873046801</v>
      </c>
      <c r="F5">
        <f ca="1"/>
        <v>395.86798095703102</v>
      </c>
      <c r="G5">
        <f ca="1"/>
        <v>5</v>
      </c>
      <c r="H5" t="str">
        <f ca="1"/>
        <v>MultiLineString ((687316.367809071787633 7565096.3571438966318965, 687240.47098323528189212 7565130.91730566136538982))</v>
      </c>
      <c r="I5">
        <f ca="1"/>
        <v>1.5</v>
      </c>
      <c r="J5">
        <f ca="1"/>
        <v>1.5</v>
      </c>
      <c r="K5">
        <f ca="1"/>
        <v>0</v>
      </c>
      <c r="L5">
        <f ca="1"/>
        <v>687316.36780907097</v>
      </c>
      <c r="M5">
        <f ca="1"/>
        <v>7565096.3571438901</v>
      </c>
      <c r="N5">
        <f ca="1"/>
        <v>395.86798095703102</v>
      </c>
      <c r="O5">
        <f ca="1"/>
        <v>83.395041540605504</v>
      </c>
      <c r="P5">
        <f ca="1"/>
        <v>83.395041540605504</v>
      </c>
      <c r="Q5">
        <f ca="1"/>
        <v>75.896825835923664</v>
      </c>
      <c r="R5">
        <f ca="1"/>
        <v>-34.560161770321429</v>
      </c>
      <c r="S5">
        <f ca="1"/>
        <v>-2.4544677734369884</v>
      </c>
      <c r="T5" t="str">
        <f ca="1"/>
        <v>C</v>
      </c>
      <c r="U5" s="9">
        <f ca="1"/>
        <v>2.4E-2</v>
      </c>
      <c r="V5" s="7">
        <f ca="1"/>
        <v>90</v>
      </c>
      <c r="W5" t="str">
        <f ca="1"/>
        <v>R-1</v>
      </c>
      <c r="X5" t="str">
        <f ca="1"/>
        <v>C</v>
      </c>
      <c r="AG5" t="s">
        <v>144</v>
      </c>
      <c r="AM5" t="str">
        <f ca="1"/>
        <v>R-10c</v>
      </c>
      <c r="AN5" t="str">
        <f ca="1"/>
        <v>R-10c</v>
      </c>
    </row>
    <row r="6" spans="1:40" x14ac:dyDescent="0.25">
      <c r="A6">
        <f ca="1"/>
        <v>2</v>
      </c>
      <c r="B6" s="3" t="str">
        <f ca="1"/>
        <v>R-10</v>
      </c>
      <c r="C6" t="str">
        <f ca="1"/>
        <v>R-10</v>
      </c>
      <c r="D6">
        <f ca="1"/>
        <v>1</v>
      </c>
      <c r="E6">
        <f ca="1"/>
        <v>349.98645019531199</v>
      </c>
      <c r="F6">
        <f ca="1"/>
        <v>349.86862182617102</v>
      </c>
      <c r="G6">
        <f ca="1"/>
        <v>2</v>
      </c>
      <c r="H6" t="str">
        <f ca="1"/>
        <v>MultiLineString ((691801.30686036229599267 7569982.24155627377331257, 691774.55839837156236172 7569997.47331935167312622))</v>
      </c>
      <c r="I6">
        <f ca="1"/>
        <v>1.2</v>
      </c>
      <c r="J6">
        <f ca="1"/>
        <v>1.2</v>
      </c>
      <c r="K6">
        <f ca="1"/>
        <v>0</v>
      </c>
      <c r="L6">
        <f ca="1"/>
        <v>691774.55839837098</v>
      </c>
      <c r="M6">
        <f ca="1"/>
        <v>7569997.4733193498</v>
      </c>
      <c r="N6">
        <f ca="1"/>
        <v>349.98645019531199</v>
      </c>
      <c r="O6">
        <f ca="1"/>
        <v>30.781273940501425</v>
      </c>
      <c r="P6">
        <f ca="1"/>
        <v>30.781273940501425</v>
      </c>
      <c r="Q6">
        <f ca="1"/>
        <v>26.748461990966462</v>
      </c>
      <c r="R6">
        <f ca="1"/>
        <v>-15.231763079762459</v>
      </c>
      <c r="S6">
        <f ca="1"/>
        <v>-0.11782836914096606</v>
      </c>
      <c r="T6" t="str">
        <f ca="1"/>
        <v>C</v>
      </c>
      <c r="U6" s="9">
        <f ca="1"/>
        <v>2.4E-2</v>
      </c>
      <c r="V6" s="7">
        <f ca="1"/>
        <v>90</v>
      </c>
      <c r="W6" t="str">
        <f ca="1"/>
        <v>R-10</v>
      </c>
      <c r="X6" t="str">
        <f ca="1"/>
        <v>C</v>
      </c>
      <c r="AM6" t="str">
        <f ca="1"/>
        <v>R-11</v>
      </c>
      <c r="AN6" t="str">
        <f ca="1"/>
        <v>R-11</v>
      </c>
    </row>
    <row r="7" spans="1:40" x14ac:dyDescent="0.25">
      <c r="A7">
        <f ca="1"/>
        <v>2</v>
      </c>
      <c r="B7" t="str">
        <f ca="1"/>
        <v>R-10</v>
      </c>
      <c r="C7" t="str">
        <f ca="1"/>
        <v>R-10</v>
      </c>
      <c r="D7">
        <f ca="1"/>
        <v>0</v>
      </c>
      <c r="E7">
        <f ca="1"/>
        <v>349.98645019531199</v>
      </c>
      <c r="F7">
        <f ca="1"/>
        <v>349.86862182617102</v>
      </c>
      <c r="G7">
        <f ca="1"/>
        <v>2</v>
      </c>
      <c r="H7" t="str">
        <f ca="1"/>
        <v>MultiLineString ((691801.30686036229599267 7569982.24155627377331257, 691774.55839837156236172 7569997.47331935167312622))</v>
      </c>
      <c r="I7">
        <f ca="1"/>
        <v>1.2</v>
      </c>
      <c r="J7">
        <f ca="1"/>
        <v>1.2</v>
      </c>
      <c r="K7">
        <f ca="1"/>
        <v>0</v>
      </c>
      <c r="L7">
        <f ca="1"/>
        <v>691801.30686036195</v>
      </c>
      <c r="M7">
        <f ca="1"/>
        <v>7569982.24155627</v>
      </c>
      <c r="N7">
        <f ca="1"/>
        <v>349.86862182617102</v>
      </c>
      <c r="O7">
        <f ca="1"/>
        <v>30.781273940501425</v>
      </c>
      <c r="P7">
        <f ca="1"/>
        <v>30.781273940501425</v>
      </c>
      <c r="Q7">
        <f ca="1"/>
        <v>26.748461990966462</v>
      </c>
      <c r="R7">
        <f ca="1"/>
        <v>-15.231763079762459</v>
      </c>
      <c r="S7">
        <f ca="1"/>
        <v>-0.11782836914096606</v>
      </c>
      <c r="T7" t="str">
        <f ca="1"/>
        <v>C</v>
      </c>
      <c r="U7" s="9">
        <f ca="1"/>
        <v>2.4E-2</v>
      </c>
      <c r="V7" s="7">
        <f ca="1"/>
        <v>90</v>
      </c>
      <c r="W7" t="str">
        <f ca="1"/>
        <v>R-10</v>
      </c>
      <c r="X7" t="str">
        <f ca="1"/>
        <v>C</v>
      </c>
      <c r="AG7" t="s">
        <v>145</v>
      </c>
      <c r="AM7" t="str">
        <f ca="1"/>
        <v>R-12</v>
      </c>
      <c r="AN7" t="str">
        <f ca="1"/>
        <v>R-12</v>
      </c>
    </row>
    <row r="8" spans="1:40" x14ac:dyDescent="0.25">
      <c r="A8">
        <f ca="1"/>
        <v>3</v>
      </c>
      <c r="B8" t="str">
        <f ca="1"/>
        <v>R-10b</v>
      </c>
      <c r="C8" t="str">
        <f ca="1"/>
        <v>R-10b</v>
      </c>
      <c r="D8">
        <f ca="1"/>
        <v>1</v>
      </c>
      <c r="E8">
        <f ca="1"/>
        <v>351.56097412109301</v>
      </c>
      <c r="F8">
        <f ca="1"/>
        <v>351.14425659179602</v>
      </c>
      <c r="G8">
        <f ca="1"/>
        <v>2</v>
      </c>
      <c r="H8" t="str">
        <f ca="1"/>
        <v>MultiLineString ((691742.79459975729696453 7569821.37927791196852922, 691717.62504003697540611 7569824.07269943132996559))</v>
      </c>
      <c r="I8">
        <f ca="1"/>
        <v>1.2</v>
      </c>
      <c r="J8">
        <f ca="1"/>
        <v>1.2</v>
      </c>
      <c r="K8">
        <f ca="1"/>
        <v>0</v>
      </c>
      <c r="L8">
        <f ca="1"/>
        <v>691717.62504003604</v>
      </c>
      <c r="M8">
        <f ca="1"/>
        <v>7569824.0726994304</v>
      </c>
      <c r="N8">
        <f ca="1"/>
        <v>351.56097412109301</v>
      </c>
      <c r="O8">
        <f ca="1"/>
        <v>25.313262453309154</v>
      </c>
      <c r="P8">
        <f ca="1"/>
        <v>25.313262453309154</v>
      </c>
      <c r="Q8">
        <f ca="1"/>
        <v>25.169559720903635</v>
      </c>
      <c r="R8">
        <f ca="1"/>
        <v>-2.6934215202927589</v>
      </c>
      <c r="S8">
        <f ca="1"/>
        <v>-0.41671752929698869</v>
      </c>
      <c r="T8" t="str">
        <f ca="1"/>
        <v>C</v>
      </c>
      <c r="U8" s="9">
        <f ca="1"/>
        <v>2.4E-2</v>
      </c>
      <c r="V8" s="7">
        <f ca="1"/>
        <v>90</v>
      </c>
      <c r="W8" t="str">
        <f ca="1"/>
        <v>R-10b</v>
      </c>
      <c r="X8" t="str">
        <f ca="1"/>
        <v>C</v>
      </c>
      <c r="AG8" t="s">
        <v>146</v>
      </c>
      <c r="AM8" t="str">
        <f ca="1"/>
        <v>R-13</v>
      </c>
      <c r="AN8" t="str">
        <f ca="1"/>
        <v>R-13</v>
      </c>
    </row>
    <row r="9" spans="1:40" x14ac:dyDescent="0.25">
      <c r="A9">
        <f ca="1"/>
        <v>3</v>
      </c>
      <c r="B9" t="str">
        <f ca="1"/>
        <v>R-10b</v>
      </c>
      <c r="C9" t="str">
        <f ca="1"/>
        <v>R-10b</v>
      </c>
      <c r="D9">
        <f ca="1"/>
        <v>0</v>
      </c>
      <c r="E9">
        <f ca="1"/>
        <v>351.56097412109301</v>
      </c>
      <c r="F9">
        <f ca="1"/>
        <v>351.14425659179602</v>
      </c>
      <c r="G9">
        <f ca="1"/>
        <v>2</v>
      </c>
      <c r="H9" t="str">
        <f ca="1"/>
        <v>MultiLineString ((691742.79459975729696453 7569821.37927791196852922, 691717.62504003697540611 7569824.07269943132996559))</v>
      </c>
      <c r="I9">
        <f ca="1"/>
        <v>1.2</v>
      </c>
      <c r="J9">
        <f ca="1"/>
        <v>1.2</v>
      </c>
      <c r="K9">
        <f ca="1"/>
        <v>0</v>
      </c>
      <c r="L9">
        <f ca="1"/>
        <v>691742.79459975695</v>
      </c>
      <c r="M9">
        <f ca="1"/>
        <v>7569821.3792779101</v>
      </c>
      <c r="N9">
        <f ca="1"/>
        <v>351.14425659179602</v>
      </c>
      <c r="O9">
        <f ca="1"/>
        <v>25.313262453309154</v>
      </c>
      <c r="P9">
        <f ca="1"/>
        <v>25.313262453309154</v>
      </c>
      <c r="Q9">
        <f ca="1"/>
        <v>25.169559720903635</v>
      </c>
      <c r="R9">
        <f ca="1"/>
        <v>-2.6934215202927589</v>
      </c>
      <c r="S9">
        <f ca="1"/>
        <v>-0.41671752929698869</v>
      </c>
      <c r="T9" t="str">
        <f ca="1"/>
        <v>C</v>
      </c>
      <c r="U9" s="9">
        <f ca="1"/>
        <v>2.4E-2</v>
      </c>
      <c r="V9" s="7">
        <f ca="1"/>
        <v>90</v>
      </c>
      <c r="W9" t="str">
        <f ca="1"/>
        <v>R-10b</v>
      </c>
      <c r="X9" t="str">
        <f ca="1"/>
        <v>C</v>
      </c>
      <c r="AM9" t="str">
        <f ca="1"/>
        <v>R-14</v>
      </c>
      <c r="AN9" t="str">
        <f ca="1"/>
        <v>R-14</v>
      </c>
    </row>
    <row r="10" spans="1:40" x14ac:dyDescent="0.25">
      <c r="A10">
        <f ca="1"/>
        <v>4</v>
      </c>
      <c r="B10" t="str">
        <f ca="1"/>
        <v>R-10c</v>
      </c>
      <c r="C10" t="str">
        <f ca="1"/>
        <v>R-10c</v>
      </c>
      <c r="D10">
        <f ca="1"/>
        <v>1</v>
      </c>
      <c r="E10">
        <f ca="1"/>
        <v>353.093658447265</v>
      </c>
      <c r="F10">
        <f ca="1"/>
        <v>352.65432739257801</v>
      </c>
      <c r="G10">
        <f ca="1"/>
        <v>1</v>
      </c>
      <c r="H10" t="str">
        <f ca="1"/>
        <v>MultiLineString ((691654.5618258296744898 7569630.88936283066868782, 691636.54376462753862143 7569647.32852176204323769))</v>
      </c>
      <c r="I10">
        <f ca="1"/>
        <v>0.9</v>
      </c>
      <c r="J10">
        <f ca="1"/>
        <v>0.9</v>
      </c>
      <c r="K10">
        <f ca="1"/>
        <v>0</v>
      </c>
      <c r="L10">
        <f ca="1"/>
        <v>691636.54376462696</v>
      </c>
      <c r="M10">
        <f ca="1"/>
        <v>7569647.3285217602</v>
      </c>
      <c r="N10">
        <f ca="1"/>
        <v>353.093658447265</v>
      </c>
      <c r="O10">
        <f ca="1"/>
        <v>24.390499704189949</v>
      </c>
      <c r="P10">
        <f ca="1"/>
        <v>24.390499704189949</v>
      </c>
      <c r="Q10">
        <f ca="1"/>
        <v>18.018061202019453</v>
      </c>
      <c r="R10">
        <f ca="1"/>
        <v>-16.439158930443227</v>
      </c>
      <c r="S10">
        <f ca="1"/>
        <v>-0.43933105468698841</v>
      </c>
      <c r="T10" t="str">
        <f ca="1"/>
        <v>C</v>
      </c>
      <c r="U10" s="9">
        <f ca="1"/>
        <v>2.4E-2</v>
      </c>
      <c r="V10" s="7">
        <f ca="1"/>
        <v>90</v>
      </c>
      <c r="W10" t="str">
        <f ca="1"/>
        <v>R-10c</v>
      </c>
      <c r="X10" t="str">
        <f ca="1"/>
        <v>C</v>
      </c>
      <c r="AG10" t="s">
        <v>36</v>
      </c>
      <c r="AH10" t="s">
        <v>148</v>
      </c>
      <c r="AI10" t="s">
        <v>165</v>
      </c>
      <c r="AM10" t="str">
        <f ca="1"/>
        <v>R-14b</v>
      </c>
      <c r="AN10" t="str">
        <f ca="1"/>
        <v>R-14b</v>
      </c>
    </row>
    <row r="11" spans="1:40" x14ac:dyDescent="0.25">
      <c r="A11">
        <f ca="1"/>
        <v>4</v>
      </c>
      <c r="B11" t="str">
        <f ca="1"/>
        <v>R-10c</v>
      </c>
      <c r="C11" t="str">
        <f ca="1"/>
        <v>R-10c</v>
      </c>
      <c r="D11">
        <f ca="1"/>
        <v>0</v>
      </c>
      <c r="E11">
        <f ca="1"/>
        <v>353.093658447265</v>
      </c>
      <c r="F11">
        <f ca="1"/>
        <v>352.65432739257801</v>
      </c>
      <c r="G11">
        <f ca="1"/>
        <v>1</v>
      </c>
      <c r="H11" t="str">
        <f ca="1"/>
        <v>MultiLineString ((691654.5618258296744898 7569630.88936283066868782, 691636.54376462753862143 7569647.32852176204323769))</v>
      </c>
      <c r="I11">
        <f ca="1"/>
        <v>0.9</v>
      </c>
      <c r="J11">
        <f ca="1"/>
        <v>0.9</v>
      </c>
      <c r="K11">
        <f ca="1"/>
        <v>0</v>
      </c>
      <c r="L11">
        <f ca="1"/>
        <v>691654.56182582898</v>
      </c>
      <c r="M11">
        <f ca="1"/>
        <v>7569630.8893628297</v>
      </c>
      <c r="N11">
        <f ca="1"/>
        <v>352.65432739257801</v>
      </c>
      <c r="O11">
        <f ca="1"/>
        <v>24.390499704189949</v>
      </c>
      <c r="P11">
        <f ca="1"/>
        <v>24.390499704189949</v>
      </c>
      <c r="Q11">
        <f ca="1"/>
        <v>18.018061202019453</v>
      </c>
      <c r="R11">
        <f ca="1"/>
        <v>-16.439158930443227</v>
      </c>
      <c r="S11">
        <f ca="1"/>
        <v>-0.43933105468698841</v>
      </c>
      <c r="T11" t="str">
        <f ca="1"/>
        <v>C</v>
      </c>
      <c r="U11" s="9">
        <f ca="1"/>
        <v>2.4E-2</v>
      </c>
      <c r="V11" s="7">
        <f ca="1"/>
        <v>90</v>
      </c>
      <c r="W11" t="str">
        <f ca="1"/>
        <v>R-10c</v>
      </c>
      <c r="X11" t="str">
        <f ca="1"/>
        <v>C</v>
      </c>
      <c r="AG11" t="s">
        <v>104</v>
      </c>
      <c r="AH11">
        <v>2.4E-2</v>
      </c>
      <c r="AI11" t="s">
        <v>74</v>
      </c>
      <c r="AM11" t="str">
        <f ca="1"/>
        <v>R-15</v>
      </c>
      <c r="AN11" t="str">
        <f ca="1"/>
        <v>R-15</v>
      </c>
    </row>
    <row r="12" spans="1:40" x14ac:dyDescent="0.25">
      <c r="A12">
        <f ca="1"/>
        <v>5</v>
      </c>
      <c r="B12" t="str">
        <f ca="1"/>
        <v>R-11</v>
      </c>
      <c r="C12" t="str">
        <f ca="1"/>
        <v>R-11</v>
      </c>
      <c r="D12">
        <f ca="1"/>
        <v>1</v>
      </c>
      <c r="E12">
        <f ca="1"/>
        <v>348.30090332031199</v>
      </c>
      <c r="F12">
        <f ca="1"/>
        <v>348.02838134765602</v>
      </c>
      <c r="G12">
        <f ca="1"/>
        <v>3</v>
      </c>
      <c r="H12" t="str">
        <f ca="1"/>
        <v>MultiLineString ((691909.32235097035299987 7570320.73034003842622042, 691880.06622066791169345 7570339.67716728243976831))</v>
      </c>
      <c r="I12">
        <f ca="1"/>
        <v>1.5</v>
      </c>
      <c r="J12">
        <f ca="1"/>
        <v>1.5</v>
      </c>
      <c r="K12">
        <f ca="1"/>
        <v>0</v>
      </c>
      <c r="L12">
        <f ca="1"/>
        <v>691880.06622066698</v>
      </c>
      <c r="M12">
        <f ca="1"/>
        <v>7570339.6771672796</v>
      </c>
      <c r="N12">
        <f ca="1"/>
        <v>348.30090332031199</v>
      </c>
      <c r="O12">
        <f ca="1"/>
        <v>34.855464752800593</v>
      </c>
      <c r="P12">
        <f ca="1"/>
        <v>34.855464752800593</v>
      </c>
      <c r="Q12">
        <f ca="1"/>
        <v>29.256130303023383</v>
      </c>
      <c r="R12">
        <f ca="1"/>
        <v>-18.946827249601483</v>
      </c>
      <c r="S12">
        <f ca="1"/>
        <v>-0.27252197265596578</v>
      </c>
      <c r="T12" t="str">
        <f ca="1"/>
        <v>C</v>
      </c>
      <c r="U12" s="9">
        <f ca="1"/>
        <v>2.4E-2</v>
      </c>
      <c r="V12" s="7">
        <f ca="1"/>
        <v>90</v>
      </c>
      <c r="W12" t="str">
        <f ca="1"/>
        <v>R-11</v>
      </c>
      <c r="X12" t="str">
        <f ca="1"/>
        <v>C</v>
      </c>
      <c r="AG12" t="s">
        <v>180</v>
      </c>
      <c r="AH12">
        <v>1.2E-2</v>
      </c>
      <c r="AI12" t="s">
        <v>166</v>
      </c>
      <c r="AM12" t="str">
        <f ca="1"/>
        <v>R-16</v>
      </c>
      <c r="AN12" t="str">
        <f ca="1"/>
        <v>R-16</v>
      </c>
    </row>
    <row r="13" spans="1:40" x14ac:dyDescent="0.25">
      <c r="A13">
        <f ca="1"/>
        <v>5</v>
      </c>
      <c r="B13" t="str">
        <f ca="1"/>
        <v>R-11</v>
      </c>
      <c r="C13" t="str">
        <f ca="1"/>
        <v>R-11</v>
      </c>
      <c r="D13">
        <f ca="1"/>
        <v>0</v>
      </c>
      <c r="E13">
        <f ca="1"/>
        <v>348.30090332031199</v>
      </c>
      <c r="F13">
        <f ca="1"/>
        <v>348.02838134765602</v>
      </c>
      <c r="G13">
        <f ca="1"/>
        <v>3</v>
      </c>
      <c r="H13" t="str">
        <f ca="1"/>
        <v>MultiLineString ((691909.32235097035299987 7570320.73034003842622042, 691880.06622066791169345 7570339.67716728243976831))</v>
      </c>
      <c r="I13">
        <f ca="1"/>
        <v>1.5</v>
      </c>
      <c r="J13">
        <f ca="1"/>
        <v>1.5</v>
      </c>
      <c r="K13">
        <f ca="1"/>
        <v>0</v>
      </c>
      <c r="L13">
        <f ca="1"/>
        <v>691909.32235097</v>
      </c>
      <c r="M13">
        <f ca="1"/>
        <v>7570320.73034003</v>
      </c>
      <c r="N13">
        <f ca="1"/>
        <v>348.02838134765602</v>
      </c>
      <c r="O13">
        <f ca="1"/>
        <v>34.855464752800593</v>
      </c>
      <c r="P13">
        <f ca="1"/>
        <v>34.855464752800593</v>
      </c>
      <c r="Q13">
        <f ca="1"/>
        <v>29.256130303023383</v>
      </c>
      <c r="R13">
        <f ca="1"/>
        <v>-18.946827249601483</v>
      </c>
      <c r="S13">
        <f ca="1"/>
        <v>-0.27252197265596578</v>
      </c>
      <c r="T13" t="str">
        <f ca="1"/>
        <v>C</v>
      </c>
      <c r="U13" s="9">
        <f ca="1"/>
        <v>2.4E-2</v>
      </c>
      <c r="V13" s="7">
        <f ca="1"/>
        <v>90</v>
      </c>
      <c r="W13" t="str">
        <f ca="1"/>
        <v>R-11</v>
      </c>
      <c r="X13" t="str">
        <f ca="1"/>
        <v>C</v>
      </c>
      <c r="AM13" t="str">
        <f ca="1"/>
        <v>R-17</v>
      </c>
      <c r="AN13" t="str">
        <f ca="1"/>
        <v>R-17</v>
      </c>
    </row>
    <row r="14" spans="1:40" x14ac:dyDescent="0.25">
      <c r="A14">
        <f ca="1"/>
        <v>6</v>
      </c>
      <c r="B14" t="str">
        <f ca="1"/>
        <v>R-12</v>
      </c>
      <c r="C14" t="str">
        <f ca="1"/>
        <v>R-12</v>
      </c>
      <c r="D14">
        <f ca="1"/>
        <v>1</v>
      </c>
      <c r="E14">
        <f ca="1"/>
        <v>351.80154418945301</v>
      </c>
      <c r="F14">
        <f ca="1"/>
        <v>351.21353149414</v>
      </c>
      <c r="G14">
        <f ca="1"/>
        <v>2</v>
      </c>
      <c r="H14" t="str">
        <f ca="1"/>
        <v>MultiLineString ((692036.69809301919303834 7570740.82406918331980705, 692012.72198079596273601 7570764.29275045823305845))</v>
      </c>
      <c r="I14">
        <f ca="1"/>
        <v>0.9</v>
      </c>
      <c r="J14">
        <f ca="1"/>
        <v>0.9</v>
      </c>
      <c r="K14">
        <f ca="1"/>
        <v>0</v>
      </c>
      <c r="L14">
        <f ca="1"/>
        <v>692012.72198079503</v>
      </c>
      <c r="M14">
        <f ca="1"/>
        <v>7570764.2927504499</v>
      </c>
      <c r="N14">
        <f ca="1"/>
        <v>351.80154418945301</v>
      </c>
      <c r="O14">
        <f ca="1"/>
        <v>33.550453915548182</v>
      </c>
      <c r="P14">
        <f ca="1"/>
        <v>33.550453915548182</v>
      </c>
      <c r="Q14">
        <f ca="1"/>
        <v>23.976112223928794</v>
      </c>
      <c r="R14">
        <f ca="1"/>
        <v>-23.468681270256639</v>
      </c>
      <c r="S14">
        <f ca="1"/>
        <v>-0.58801269531301159</v>
      </c>
      <c r="T14" t="str">
        <f ca="1"/>
        <v>C</v>
      </c>
      <c r="U14" s="9">
        <f ca="1"/>
        <v>2.4E-2</v>
      </c>
      <c r="V14" s="7">
        <f ca="1"/>
        <v>90</v>
      </c>
      <c r="W14" t="str">
        <f ca="1"/>
        <v>R-12</v>
      </c>
      <c r="X14" t="str">
        <f ca="1"/>
        <v>C</v>
      </c>
      <c r="AM14" t="str">
        <f ca="1"/>
        <v>R-17b</v>
      </c>
      <c r="AN14" t="str">
        <f ca="1"/>
        <v>R-17b</v>
      </c>
    </row>
    <row r="15" spans="1:40" x14ac:dyDescent="0.25">
      <c r="A15">
        <f ca="1"/>
        <v>6</v>
      </c>
      <c r="B15" t="str">
        <f ca="1"/>
        <v>R-12</v>
      </c>
      <c r="C15" t="str">
        <f ca="1"/>
        <v>R-12</v>
      </c>
      <c r="D15">
        <f ca="1"/>
        <v>0</v>
      </c>
      <c r="E15">
        <f ca="1"/>
        <v>351.80154418945301</v>
      </c>
      <c r="F15">
        <f ca="1"/>
        <v>351.21353149414</v>
      </c>
      <c r="G15">
        <f ca="1"/>
        <v>2</v>
      </c>
      <c r="H15" t="str">
        <f ca="1"/>
        <v>MultiLineString ((692036.69809301919303834 7570740.82406918331980705, 692012.72198079596273601 7570764.29275045823305845))</v>
      </c>
      <c r="I15">
        <f ca="1"/>
        <v>0.9</v>
      </c>
      <c r="J15">
        <f ca="1"/>
        <v>0.9</v>
      </c>
      <c r="K15">
        <f ca="1"/>
        <v>0</v>
      </c>
      <c r="L15">
        <f ca="1"/>
        <v>692036.69809301896</v>
      </c>
      <c r="M15">
        <f ca="1"/>
        <v>7570740.8240691796</v>
      </c>
      <c r="N15">
        <f ca="1"/>
        <v>351.21353149414</v>
      </c>
      <c r="O15">
        <f ca="1"/>
        <v>33.550453915548182</v>
      </c>
      <c r="P15">
        <f ca="1"/>
        <v>33.550453915548182</v>
      </c>
      <c r="Q15">
        <f ca="1"/>
        <v>23.976112223928794</v>
      </c>
      <c r="R15">
        <f ca="1"/>
        <v>-23.468681270256639</v>
      </c>
      <c r="S15">
        <f ca="1"/>
        <v>-0.58801269531301159</v>
      </c>
      <c r="T15" t="str">
        <f ca="1"/>
        <v>C</v>
      </c>
      <c r="U15" s="9">
        <f ca="1"/>
        <v>2.4E-2</v>
      </c>
      <c r="V15" s="7">
        <f ca="1"/>
        <v>90</v>
      </c>
      <c r="W15" t="str">
        <f ca="1"/>
        <v>R-12</v>
      </c>
      <c r="X15" t="str">
        <f ca="1"/>
        <v>C</v>
      </c>
      <c r="AM15" t="str">
        <f ca="1"/>
        <v>R-18</v>
      </c>
      <c r="AN15" t="str">
        <f ca="1"/>
        <v>R-18</v>
      </c>
    </row>
    <row r="16" spans="1:40" x14ac:dyDescent="0.25">
      <c r="A16">
        <f ca="1"/>
        <v>7</v>
      </c>
      <c r="B16" t="str">
        <f ca="1"/>
        <v>R-13</v>
      </c>
      <c r="C16" s="3" t="str">
        <f ca="1"/>
        <v>R-13</v>
      </c>
      <c r="D16">
        <f ca="1"/>
        <v>1</v>
      </c>
      <c r="E16">
        <f ca="1"/>
        <v>344.20489501953102</v>
      </c>
      <c r="F16">
        <f ca="1"/>
        <v>343.79400634765602</v>
      </c>
      <c r="G16">
        <f ca="1"/>
        <v>4</v>
      </c>
      <c r="H16" t="str">
        <f ca="1"/>
        <v>MultiLineString ((692161.01794817426707596 7571146.96061041299253702, 692109.38757610891479999 7571160.85003517102450132))</v>
      </c>
      <c r="I16">
        <f ca="1"/>
        <v>1.5</v>
      </c>
      <c r="J16">
        <f ca="1"/>
        <v>1.5</v>
      </c>
      <c r="K16">
        <f ca="1"/>
        <v>0</v>
      </c>
      <c r="L16">
        <f ca="1"/>
        <v>692109.38757610798</v>
      </c>
      <c r="M16">
        <f ca="1"/>
        <v>7571160.8500351701</v>
      </c>
      <c r="N16">
        <f ca="1"/>
        <v>344.20489501953102</v>
      </c>
      <c r="O16">
        <f ca="1"/>
        <v>53.465983950916012</v>
      </c>
      <c r="P16">
        <f ca="1"/>
        <v>53.465983950916012</v>
      </c>
      <c r="Q16">
        <f ca="1"/>
        <v>51.630372066050768</v>
      </c>
      <c r="R16">
        <f ca="1"/>
        <v>-13.889424759894609</v>
      </c>
      <c r="S16">
        <f ca="1"/>
        <v>-0.410888671875</v>
      </c>
      <c r="T16" t="str">
        <f ca="1"/>
        <v>C</v>
      </c>
      <c r="U16">
        <f ca="1"/>
        <v>2.4E-2</v>
      </c>
      <c r="V16" s="7">
        <f ca="1"/>
        <v>90</v>
      </c>
      <c r="W16" t="str">
        <f ca="1"/>
        <v>R-13</v>
      </c>
      <c r="X16" t="str">
        <f ca="1"/>
        <v>C</v>
      </c>
      <c r="Z16" t="s">
        <v>214</v>
      </c>
      <c r="AA16">
        <f ca="1">COUNTA(_xlfn.UNIQUE(_xlfn.ANCHORARRAY(W4)))</f>
        <v>30</v>
      </c>
      <c r="AM16" t="str">
        <f ca="1"/>
        <v>R-18b</v>
      </c>
      <c r="AN16" t="str">
        <f ca="1"/>
        <v>R-18b</v>
      </c>
    </row>
    <row r="17" spans="1:40" x14ac:dyDescent="0.25">
      <c r="A17">
        <f ca="1"/>
        <v>7</v>
      </c>
      <c r="B17" t="str">
        <f ca="1"/>
        <v>R-13</v>
      </c>
      <c r="C17" s="3" t="str">
        <f ca="1"/>
        <v>R-13</v>
      </c>
      <c r="D17">
        <f ca="1"/>
        <v>0</v>
      </c>
      <c r="E17">
        <f ca="1"/>
        <v>344.20489501953102</v>
      </c>
      <c r="F17">
        <f ca="1"/>
        <v>343.79400634765602</v>
      </c>
      <c r="G17">
        <f ca="1"/>
        <v>4</v>
      </c>
      <c r="H17" t="str">
        <f ca="1"/>
        <v>MultiLineString ((692161.01794817426707596 7571146.96061041299253702, 692109.38757610891479999 7571160.85003517102450132))</v>
      </c>
      <c r="I17">
        <f ca="1"/>
        <v>1.5</v>
      </c>
      <c r="J17">
        <f ca="1"/>
        <v>1.5</v>
      </c>
      <c r="K17">
        <f ca="1"/>
        <v>0</v>
      </c>
      <c r="L17">
        <f ca="1"/>
        <v>692161.01794817403</v>
      </c>
      <c r="M17">
        <f ca="1"/>
        <v>7571146.9606104102</v>
      </c>
      <c r="N17">
        <f ca="1"/>
        <v>343.79400634765602</v>
      </c>
      <c r="O17">
        <f ca="1"/>
        <v>53.465983950916012</v>
      </c>
      <c r="P17">
        <f ca="1"/>
        <v>53.465983950916012</v>
      </c>
      <c r="Q17">
        <f ca="1"/>
        <v>51.630372066050768</v>
      </c>
      <c r="R17">
        <f ca="1"/>
        <v>-13.889424759894609</v>
      </c>
      <c r="S17">
        <f ca="1"/>
        <v>-0.410888671875</v>
      </c>
      <c r="T17" t="str">
        <f ca="1"/>
        <v>C</v>
      </c>
      <c r="U17">
        <f ca="1"/>
        <v>2.4E-2</v>
      </c>
      <c r="V17" s="7">
        <f ca="1"/>
        <v>90</v>
      </c>
      <c r="W17" t="str">
        <f ca="1"/>
        <v>R-13</v>
      </c>
      <c r="X17" t="str">
        <f ca="1"/>
        <v>C</v>
      </c>
      <c r="Z17" t="s">
        <v>215</v>
      </c>
      <c r="AA17">
        <f ca="1">COUNTA(_xlfn.ANCHORARRAY(B4))/2</f>
        <v>30</v>
      </c>
      <c r="AM17" t="str">
        <f ca="1"/>
        <v>R-19</v>
      </c>
      <c r="AN17" t="str">
        <f ca="1"/>
        <v>R-19</v>
      </c>
    </row>
    <row r="18" spans="1:40" x14ac:dyDescent="0.25">
      <c r="A18">
        <f ca="1"/>
        <v>8</v>
      </c>
      <c r="B18" t="str">
        <f ca="1"/>
        <v>R-14</v>
      </c>
      <c r="C18" s="3" t="str">
        <f ca="1"/>
        <v>R-14</v>
      </c>
      <c r="D18">
        <f ca="1"/>
        <v>1</v>
      </c>
      <c r="E18">
        <f ca="1"/>
        <v>342.71350097656199</v>
      </c>
      <c r="F18">
        <f ca="1"/>
        <v>342.2919921875</v>
      </c>
      <c r="G18">
        <f ca="1"/>
        <v>4</v>
      </c>
      <c r="H18" t="str">
        <f ca="1"/>
        <v>MultiLineString ((692208.38501628290396184 7571615.61595487501472235, 692159.34616929991170764 7571613.57266958430409431))</v>
      </c>
      <c r="I18">
        <f ca="1"/>
        <v>1.5</v>
      </c>
      <c r="J18">
        <f ca="1"/>
        <v>1.5</v>
      </c>
      <c r="K18">
        <f ca="1"/>
        <v>0</v>
      </c>
      <c r="L18">
        <f ca="1"/>
        <v>692159.34616929898</v>
      </c>
      <c r="M18">
        <f ca="1"/>
        <v>7571613.5726695796</v>
      </c>
      <c r="N18">
        <f ca="1"/>
        <v>342.71350097656199</v>
      </c>
      <c r="O18">
        <f ca="1"/>
        <v>49.081396966677332</v>
      </c>
      <c r="P18">
        <f ca="1"/>
        <v>49.081396966677332</v>
      </c>
      <c r="Q18">
        <f ca="1"/>
        <v>49.038846982992254</v>
      </c>
      <c r="R18">
        <f ca="1"/>
        <v>2.043285290710628</v>
      </c>
      <c r="S18">
        <f ca="1"/>
        <v>-0.42150878906198841</v>
      </c>
      <c r="T18" t="str">
        <f ca="1"/>
        <v>C</v>
      </c>
      <c r="U18">
        <f ca="1"/>
        <v>2.4E-2</v>
      </c>
      <c r="V18" s="7">
        <f ca="1"/>
        <v>90</v>
      </c>
      <c r="W18" t="str">
        <f ca="1"/>
        <v>R-14</v>
      </c>
      <c r="X18" t="str">
        <f ca="1"/>
        <v>C</v>
      </c>
      <c r="AM18" t="str">
        <f ca="1"/>
        <v>R-2</v>
      </c>
      <c r="AN18" t="str">
        <f ca="1"/>
        <v>R-2</v>
      </c>
    </row>
    <row r="19" spans="1:40" x14ac:dyDescent="0.25">
      <c r="A19">
        <f ca="1"/>
        <v>8</v>
      </c>
      <c r="B19" t="str">
        <f ca="1"/>
        <v>R-14</v>
      </c>
      <c r="C19" s="3" t="str">
        <f ca="1"/>
        <v>R-14</v>
      </c>
      <c r="D19">
        <f ca="1"/>
        <v>0</v>
      </c>
      <c r="E19">
        <f ca="1"/>
        <v>342.71350097656199</v>
      </c>
      <c r="F19">
        <f ca="1"/>
        <v>342.2919921875</v>
      </c>
      <c r="G19">
        <f ca="1"/>
        <v>4</v>
      </c>
      <c r="H19" t="str">
        <f ca="1"/>
        <v>MultiLineString ((692208.38501628290396184 7571615.61595487501472235, 692159.34616929991170764 7571613.57266958430409431))</v>
      </c>
      <c r="I19">
        <f ca="1"/>
        <v>1.5</v>
      </c>
      <c r="J19">
        <f ca="1"/>
        <v>1.5</v>
      </c>
      <c r="K19">
        <f ca="1"/>
        <v>0</v>
      </c>
      <c r="L19">
        <f ca="1"/>
        <v>692208.38501628197</v>
      </c>
      <c r="M19">
        <f ca="1"/>
        <v>7571615.6159548704</v>
      </c>
      <c r="N19">
        <f ca="1"/>
        <v>342.2919921875</v>
      </c>
      <c r="O19">
        <f ca="1"/>
        <v>49.081396966677332</v>
      </c>
      <c r="P19">
        <f ca="1"/>
        <v>49.081396966677332</v>
      </c>
      <c r="Q19">
        <f ca="1"/>
        <v>49.038846982992254</v>
      </c>
      <c r="R19">
        <f ca="1"/>
        <v>2.043285290710628</v>
      </c>
      <c r="S19">
        <f ca="1"/>
        <v>-0.42150878906198841</v>
      </c>
      <c r="T19" t="str">
        <f ca="1"/>
        <v>C</v>
      </c>
      <c r="U19">
        <f ca="1"/>
        <v>2.4E-2</v>
      </c>
      <c r="V19" s="7">
        <f ca="1"/>
        <v>90</v>
      </c>
      <c r="W19" t="str">
        <f ca="1"/>
        <v>R-14</v>
      </c>
      <c r="X19" t="str">
        <f ca="1"/>
        <v>C</v>
      </c>
      <c r="AM19" t="str">
        <f ca="1"/>
        <v>R-20</v>
      </c>
      <c r="AN19" t="str">
        <f ca="1"/>
        <v>R-20</v>
      </c>
    </row>
    <row r="20" spans="1:40" x14ac:dyDescent="0.25">
      <c r="A20">
        <f ca="1"/>
        <v>9</v>
      </c>
      <c r="B20" t="str">
        <f ca="1"/>
        <v>R-14b</v>
      </c>
      <c r="C20" s="3" t="str">
        <f ca="1"/>
        <v>R-14b</v>
      </c>
      <c r="D20">
        <f ca="1"/>
        <v>1</v>
      </c>
      <c r="E20">
        <f ca="1"/>
        <v>346.56299999999999</v>
      </c>
      <c r="F20">
        <f ca="1"/>
        <v>345.32499999999999</v>
      </c>
      <c r="G20">
        <f ca="1"/>
        <v>1</v>
      </c>
      <c r="H20" t="str">
        <f ca="1"/>
        <v>MultiLineString ((692189.49452477414160967 7571443.62287487834692001, 692159.25583927519619465 7571463.08685634937137365))</v>
      </c>
      <c r="I20">
        <f ca="1"/>
        <v>0.9</v>
      </c>
      <c r="J20">
        <f ca="1"/>
        <v>0.9</v>
      </c>
      <c r="K20">
        <f ca="1"/>
        <v>0</v>
      </c>
      <c r="L20">
        <f ca="1"/>
        <v>692159.25583927496</v>
      </c>
      <c r="M20">
        <f ca="1"/>
        <v>7571463.0868563401</v>
      </c>
      <c r="N20">
        <f ca="1"/>
        <v>346.56299999999999</v>
      </c>
      <c r="O20">
        <f ca="1"/>
        <v>35.961433166370064</v>
      </c>
      <c r="P20">
        <f ca="1"/>
        <v>35.961433166370064</v>
      </c>
      <c r="Q20">
        <f ca="1"/>
        <v>30.23868549906183</v>
      </c>
      <c r="R20">
        <f ca="1"/>
        <v>-19.463981470093131</v>
      </c>
      <c r="S20">
        <f ca="1"/>
        <v>-1.2379999999999995</v>
      </c>
      <c r="T20" t="str">
        <f ca="1"/>
        <v>C</v>
      </c>
      <c r="U20">
        <f ca="1"/>
        <v>2.4E-2</v>
      </c>
      <c r="V20" s="7">
        <f ca="1"/>
        <v>90</v>
      </c>
      <c r="W20" t="str">
        <f ca="1"/>
        <v>R-14b</v>
      </c>
      <c r="X20" t="str">
        <f ca="1"/>
        <v>C</v>
      </c>
      <c r="AM20" t="str">
        <f ca="1"/>
        <v>R-21</v>
      </c>
      <c r="AN20" t="str">
        <f ca="1"/>
        <v>R-21</v>
      </c>
    </row>
    <row r="21" spans="1:40" x14ac:dyDescent="0.25">
      <c r="A21">
        <f ca="1"/>
        <v>9</v>
      </c>
      <c r="B21" t="str">
        <f ca="1"/>
        <v>R-14b</v>
      </c>
      <c r="C21" s="3" t="str">
        <f ca="1"/>
        <v>R-14b</v>
      </c>
      <c r="D21">
        <f ca="1"/>
        <v>0</v>
      </c>
      <c r="E21">
        <f ca="1"/>
        <v>346.56299999999999</v>
      </c>
      <c r="F21">
        <f ca="1"/>
        <v>345.32499999999999</v>
      </c>
      <c r="G21">
        <f ca="1"/>
        <v>1</v>
      </c>
      <c r="H21" t="str">
        <f ca="1"/>
        <v>MultiLineString ((692189.49452477414160967 7571443.62287487834692001, 692159.25583927519619465 7571463.08685634937137365))</v>
      </c>
      <c r="I21">
        <f ca="1"/>
        <v>0.9</v>
      </c>
      <c r="J21">
        <f ca="1"/>
        <v>0.9</v>
      </c>
      <c r="K21">
        <f ca="1"/>
        <v>0</v>
      </c>
      <c r="L21">
        <f ca="1"/>
        <v>692189.49452477403</v>
      </c>
      <c r="M21">
        <f ca="1"/>
        <v>7571443.62287487</v>
      </c>
      <c r="N21">
        <f ca="1"/>
        <v>345.32499999999999</v>
      </c>
      <c r="O21">
        <f ca="1"/>
        <v>35.961433166370064</v>
      </c>
      <c r="P21">
        <f ca="1"/>
        <v>35.961433166370064</v>
      </c>
      <c r="Q21">
        <f ca="1"/>
        <v>30.23868549906183</v>
      </c>
      <c r="R21">
        <f ca="1"/>
        <v>-19.463981470093131</v>
      </c>
      <c r="S21">
        <f ca="1"/>
        <v>-1.2379999999999995</v>
      </c>
      <c r="T21" t="str">
        <f ca="1"/>
        <v>C</v>
      </c>
      <c r="U21">
        <f ca="1"/>
        <v>2.4E-2</v>
      </c>
      <c r="V21" s="7">
        <f ca="1"/>
        <v>90</v>
      </c>
      <c r="W21" t="str">
        <f ca="1"/>
        <v>R-14b</v>
      </c>
      <c r="X21" t="str">
        <f ca="1"/>
        <v>C</v>
      </c>
      <c r="AM21" t="str">
        <f ca="1"/>
        <v>R-22</v>
      </c>
      <c r="AN21" t="str">
        <f ca="1"/>
        <v>R-22</v>
      </c>
    </row>
    <row r="22" spans="1:40" x14ac:dyDescent="0.25">
      <c r="A22">
        <f ca="1"/>
        <v>10</v>
      </c>
      <c r="B22" t="str">
        <f ca="1"/>
        <v>R-15</v>
      </c>
      <c r="C22" s="3" t="str">
        <f ca="1"/>
        <v>R-15</v>
      </c>
      <c r="D22">
        <f ca="1"/>
        <v>1</v>
      </c>
      <c r="E22">
        <f ca="1"/>
        <v>344.97506713867102</v>
      </c>
      <c r="F22">
        <f ca="1"/>
        <v>344.48989868164</v>
      </c>
      <c r="G22">
        <f ca="1"/>
        <v>2</v>
      </c>
      <c r="H22" t="str">
        <f ca="1"/>
        <v>MultiLineString ((692207.45625024160835892 7571762.91824903339147568, 692168.81958292168565094 7571777.40699927881360054))</v>
      </c>
      <c r="I22">
        <f ca="1"/>
        <v>1.5</v>
      </c>
      <c r="J22">
        <f ca="1"/>
        <v>1.5</v>
      </c>
      <c r="K22">
        <f ca="1"/>
        <v>0</v>
      </c>
      <c r="L22">
        <f ca="1"/>
        <v>692168.81958292099</v>
      </c>
      <c r="M22">
        <f ca="1"/>
        <v>7571777.4069992704</v>
      </c>
      <c r="N22">
        <f ca="1"/>
        <v>344.97506713867102</v>
      </c>
      <c r="O22">
        <f ca="1"/>
        <v>41.263978784633238</v>
      </c>
      <c r="P22">
        <f ca="1"/>
        <v>41.263978784633238</v>
      </c>
      <c r="Q22">
        <f ca="1"/>
        <v>38.636667320039123</v>
      </c>
      <c r="R22">
        <f ca="1"/>
        <v>-14.488750240765512</v>
      </c>
      <c r="S22">
        <f ca="1"/>
        <v>-0.48516845703102263</v>
      </c>
      <c r="T22" t="str">
        <f ca="1"/>
        <v>C</v>
      </c>
      <c r="U22">
        <f ca="1"/>
        <v>2.4E-2</v>
      </c>
      <c r="V22" s="7">
        <f ca="1"/>
        <v>90</v>
      </c>
      <c r="W22" t="str">
        <f ca="1"/>
        <v>R-15</v>
      </c>
      <c r="X22" t="str">
        <f ca="1"/>
        <v>C</v>
      </c>
      <c r="AM22" t="str">
        <f ca="1"/>
        <v>R-3</v>
      </c>
      <c r="AN22" t="str">
        <f ca="1"/>
        <v>R-3</v>
      </c>
    </row>
    <row r="23" spans="1:40" x14ac:dyDescent="0.25">
      <c r="A23">
        <f ca="1"/>
        <v>10</v>
      </c>
      <c r="B23" t="str">
        <f ca="1"/>
        <v>R-15</v>
      </c>
      <c r="C23" s="3" t="str">
        <f ca="1"/>
        <v>R-15</v>
      </c>
      <c r="D23">
        <f ca="1"/>
        <v>0</v>
      </c>
      <c r="E23">
        <f ca="1"/>
        <v>344.97506713867102</v>
      </c>
      <c r="F23">
        <f ca="1"/>
        <v>344.48989868164</v>
      </c>
      <c r="G23">
        <f ca="1"/>
        <v>2</v>
      </c>
      <c r="H23" t="str">
        <f ca="1"/>
        <v>MultiLineString ((692207.45625024160835892 7571762.91824903339147568, 692168.81958292168565094 7571777.40699927881360054))</v>
      </c>
      <c r="I23">
        <f ca="1"/>
        <v>1.5</v>
      </c>
      <c r="J23">
        <f ca="1"/>
        <v>1.5</v>
      </c>
      <c r="K23">
        <f ca="1"/>
        <v>0</v>
      </c>
      <c r="L23">
        <f ca="1"/>
        <v>692207.45625024103</v>
      </c>
      <c r="M23">
        <f ca="1"/>
        <v>7571762.9182490297</v>
      </c>
      <c r="N23">
        <f ca="1"/>
        <v>344.48989868164</v>
      </c>
      <c r="O23">
        <f ca="1"/>
        <v>41.263978784633238</v>
      </c>
      <c r="P23">
        <f ca="1"/>
        <v>41.263978784633238</v>
      </c>
      <c r="Q23">
        <f ca="1"/>
        <v>38.636667320039123</v>
      </c>
      <c r="R23">
        <f ca="1"/>
        <v>-14.488750240765512</v>
      </c>
      <c r="S23">
        <f ca="1"/>
        <v>-0.48516845703102263</v>
      </c>
      <c r="T23" t="str">
        <f ca="1"/>
        <v>C</v>
      </c>
      <c r="U23">
        <f ca="1"/>
        <v>2.4E-2</v>
      </c>
      <c r="V23" s="7">
        <f ca="1"/>
        <v>90</v>
      </c>
      <c r="W23" t="str">
        <f ca="1"/>
        <v>R-15</v>
      </c>
      <c r="X23" t="str">
        <f ca="1"/>
        <v>C</v>
      </c>
      <c r="AM23" t="str">
        <f ca="1"/>
        <v>R-4</v>
      </c>
      <c r="AN23" t="str">
        <f ca="1"/>
        <v>R-4</v>
      </c>
    </row>
    <row r="24" spans="1:40" x14ac:dyDescent="0.25">
      <c r="A24">
        <f ca="1"/>
        <v>11</v>
      </c>
      <c r="B24" t="str">
        <f ca="1"/>
        <v>R-16</v>
      </c>
      <c r="C24" s="3" t="str">
        <f ca="1"/>
        <v>R-16</v>
      </c>
      <c r="D24">
        <f ca="1"/>
        <v>1</v>
      </c>
      <c r="E24">
        <f ca="1"/>
        <v>347.94793701171801</v>
      </c>
      <c r="F24">
        <f ca="1"/>
        <v>347.10491943359301</v>
      </c>
      <c r="G24">
        <f ca="1"/>
        <v>1</v>
      </c>
      <c r="H24" t="str">
        <f ca="1"/>
        <v>MultiLineString ((692226.58883069327566773 7572259.15794492140412331, 692181.91518410469871014 7572253.02808904834091663))</v>
      </c>
      <c r="I24">
        <f ca="1"/>
        <v>1.2</v>
      </c>
      <c r="J24">
        <f ca="1"/>
        <v>1.2</v>
      </c>
      <c r="K24">
        <f ca="1"/>
        <v>0</v>
      </c>
      <c r="L24">
        <f ca="1"/>
        <v>692181.915184104</v>
      </c>
      <c r="M24">
        <f ca="1"/>
        <v>7572253.02808904</v>
      </c>
      <c r="N24">
        <f ca="1"/>
        <v>347.94793701171801</v>
      </c>
      <c r="O24">
        <f ca="1"/>
        <v>45.09223694459093</v>
      </c>
      <c r="P24">
        <f ca="1"/>
        <v>45.09223694459093</v>
      </c>
      <c r="Q24">
        <f ca="1"/>
        <v>44.673646589042619</v>
      </c>
      <c r="R24">
        <f ca="1"/>
        <v>6.1298558795824647</v>
      </c>
      <c r="S24">
        <f ca="1"/>
        <v>-0.843017578125</v>
      </c>
      <c r="T24" t="str">
        <f ca="1"/>
        <v>C</v>
      </c>
      <c r="U24">
        <f ca="1"/>
        <v>2.4E-2</v>
      </c>
      <c r="V24" s="7">
        <f ca="1"/>
        <v>90</v>
      </c>
      <c r="W24" t="str">
        <f ca="1"/>
        <v>R-16</v>
      </c>
      <c r="X24" t="str">
        <f ca="1"/>
        <v>C</v>
      </c>
      <c r="AM24" t="str">
        <f ca="1"/>
        <v>R-5</v>
      </c>
      <c r="AN24" t="str">
        <f ca="1"/>
        <v>R-5</v>
      </c>
    </row>
    <row r="25" spans="1:40" x14ac:dyDescent="0.25">
      <c r="A25">
        <f ca="1"/>
        <v>11</v>
      </c>
      <c r="B25" t="str">
        <f ca="1"/>
        <v>R-16</v>
      </c>
      <c r="C25" s="3" t="str">
        <f ca="1"/>
        <v>R-16</v>
      </c>
      <c r="D25">
        <f ca="1"/>
        <v>0</v>
      </c>
      <c r="E25">
        <f ca="1"/>
        <v>347.94793701171801</v>
      </c>
      <c r="F25">
        <f ca="1"/>
        <v>347.10491943359301</v>
      </c>
      <c r="G25">
        <f ca="1"/>
        <v>1</v>
      </c>
      <c r="H25" t="str">
        <f ca="1"/>
        <v>MultiLineString ((692226.58883069327566773 7572259.15794492140412331, 692181.91518410469871014 7572253.02808904834091663))</v>
      </c>
      <c r="I25">
        <f ca="1"/>
        <v>1.2</v>
      </c>
      <c r="J25">
        <f ca="1"/>
        <v>1.2</v>
      </c>
      <c r="K25">
        <f ca="1"/>
        <v>0</v>
      </c>
      <c r="L25">
        <f ca="1"/>
        <v>692226.58883069304</v>
      </c>
      <c r="M25">
        <f ca="1"/>
        <v>7572259.1579449195</v>
      </c>
      <c r="N25">
        <f ca="1"/>
        <v>347.10491943359301</v>
      </c>
      <c r="O25">
        <f ca="1"/>
        <v>45.09223694459093</v>
      </c>
      <c r="P25">
        <f ca="1"/>
        <v>45.09223694459093</v>
      </c>
      <c r="Q25">
        <f ca="1"/>
        <v>44.673646589042619</v>
      </c>
      <c r="R25">
        <f ca="1"/>
        <v>6.1298558795824647</v>
      </c>
      <c r="S25">
        <f ca="1"/>
        <v>-0.843017578125</v>
      </c>
      <c r="T25" t="str">
        <f ca="1"/>
        <v>C</v>
      </c>
      <c r="U25">
        <f ca="1"/>
        <v>2.4E-2</v>
      </c>
      <c r="V25" s="7">
        <f ca="1"/>
        <v>90</v>
      </c>
      <c r="W25" t="str">
        <f ca="1"/>
        <v>R-16</v>
      </c>
      <c r="X25" t="str">
        <f ca="1"/>
        <v>C</v>
      </c>
      <c r="AM25" t="str">
        <f ca="1"/>
        <v>R-6</v>
      </c>
      <c r="AN25" t="str">
        <f ca="1"/>
        <v>R-6</v>
      </c>
    </row>
    <row r="26" spans="1:40" x14ac:dyDescent="0.25">
      <c r="A26">
        <f ca="1"/>
        <v>12</v>
      </c>
      <c r="B26" t="str">
        <f ca="1"/>
        <v>R-17</v>
      </c>
      <c r="C26" s="3" t="str">
        <f ca="1"/>
        <v>R-17</v>
      </c>
      <c r="D26">
        <f ca="1"/>
        <v>1</v>
      </c>
      <c r="E26">
        <f ca="1"/>
        <v>337.30044555664</v>
      </c>
      <c r="F26">
        <f ca="1"/>
        <v>337.15353393554602</v>
      </c>
      <c r="G26">
        <f ca="1"/>
        <v>2</v>
      </c>
      <c r="H26" t="str">
        <f ca="1"/>
        <v>MultiLineString ((692464.0743074647616595 7573334.20463777799159288, 692436.02557301614433527 7573348.69338802248239517))</v>
      </c>
      <c r="I26">
        <f ca="1"/>
        <v>1.5</v>
      </c>
      <c r="J26">
        <f ca="1"/>
        <v>1.5</v>
      </c>
      <c r="K26">
        <f ca="1"/>
        <v>0</v>
      </c>
      <c r="L26">
        <f ca="1"/>
        <v>692436.02557301603</v>
      </c>
      <c r="M26">
        <f ca="1"/>
        <v>7573348.6933880197</v>
      </c>
      <c r="N26">
        <f ca="1"/>
        <v>337.30044555664</v>
      </c>
      <c r="O26">
        <f ca="1"/>
        <v>31.569849349324194</v>
      </c>
      <c r="P26">
        <f ca="1"/>
        <v>31.569849349324194</v>
      </c>
      <c r="Q26">
        <f ca="1"/>
        <v>28.048734447918832</v>
      </c>
      <c r="R26">
        <f ca="1"/>
        <v>-14.488750250078738</v>
      </c>
      <c r="S26">
        <f ca="1"/>
        <v>-0.14691162109397737</v>
      </c>
      <c r="T26" t="str">
        <f ca="1"/>
        <v>C</v>
      </c>
      <c r="U26">
        <f ca="1"/>
        <v>2.4E-2</v>
      </c>
      <c r="V26" s="7">
        <f ca="1"/>
        <v>90</v>
      </c>
      <c r="W26" t="str">
        <f ca="1"/>
        <v>R-17</v>
      </c>
      <c r="X26" t="str">
        <f ca="1"/>
        <v>C</v>
      </c>
      <c r="AM26" t="str">
        <f ca="1"/>
        <v>R-6b</v>
      </c>
      <c r="AN26" t="str">
        <f ca="1"/>
        <v>R-6b</v>
      </c>
    </row>
    <row r="27" spans="1:40" x14ac:dyDescent="0.25">
      <c r="A27">
        <f ca="1"/>
        <v>12</v>
      </c>
      <c r="B27" t="str">
        <f ca="1"/>
        <v>R-17</v>
      </c>
      <c r="C27" s="3" t="str">
        <f ca="1"/>
        <v>R-17</v>
      </c>
      <c r="D27">
        <f ca="1"/>
        <v>0</v>
      </c>
      <c r="E27">
        <f ca="1"/>
        <v>337.30044555664</v>
      </c>
      <c r="F27">
        <f ca="1"/>
        <v>337.15353393554602</v>
      </c>
      <c r="G27">
        <f ca="1"/>
        <v>2</v>
      </c>
      <c r="H27" t="str">
        <f ca="1"/>
        <v>MultiLineString ((692464.0743074647616595 7573334.20463777799159288, 692436.02557301614433527 7573348.69338802248239517))</v>
      </c>
      <c r="I27">
        <f ca="1"/>
        <v>1.5</v>
      </c>
      <c r="J27">
        <f ca="1"/>
        <v>1.5</v>
      </c>
      <c r="K27">
        <f ca="1"/>
        <v>0</v>
      </c>
      <c r="L27">
        <f ca="1"/>
        <v>692464.07430746395</v>
      </c>
      <c r="M27">
        <f ca="1"/>
        <v>7573334.2046377696</v>
      </c>
      <c r="N27">
        <f ca="1"/>
        <v>337.15353393554602</v>
      </c>
      <c r="O27">
        <f ca="1"/>
        <v>31.569849349324194</v>
      </c>
      <c r="P27">
        <f ca="1"/>
        <v>31.569849349324194</v>
      </c>
      <c r="Q27">
        <f ca="1"/>
        <v>28.048734447918832</v>
      </c>
      <c r="R27">
        <f ca="1"/>
        <v>-14.488750250078738</v>
      </c>
      <c r="S27">
        <f ca="1"/>
        <v>-0.14691162109397737</v>
      </c>
      <c r="T27" t="str">
        <f ca="1"/>
        <v>C</v>
      </c>
      <c r="U27">
        <f ca="1"/>
        <v>2.4E-2</v>
      </c>
      <c r="V27" s="7">
        <f ca="1"/>
        <v>90</v>
      </c>
      <c r="W27" t="str">
        <f ca="1"/>
        <v>R-17</v>
      </c>
      <c r="X27" t="str">
        <f ca="1"/>
        <v>C</v>
      </c>
      <c r="AM27" t="str">
        <f ca="1"/>
        <v>R-7</v>
      </c>
      <c r="AN27" t="str">
        <f ca="1"/>
        <v>R-7</v>
      </c>
    </row>
    <row r="28" spans="1:40" x14ac:dyDescent="0.25">
      <c r="A28">
        <f ca="1"/>
        <v>13</v>
      </c>
      <c r="B28" t="str">
        <f ca="1"/>
        <v>R-17b</v>
      </c>
      <c r="C28" s="3" t="str">
        <f ca="1"/>
        <v>R-17b</v>
      </c>
      <c r="D28">
        <f ca="1"/>
        <v>1</v>
      </c>
      <c r="E28">
        <f ca="1"/>
        <v>337.62054443359301</v>
      </c>
      <c r="F28">
        <f ca="1"/>
        <v>336.73544311523398</v>
      </c>
      <c r="G28">
        <f ca="1"/>
        <v>1</v>
      </c>
      <c r="H28" t="str">
        <f ca="1"/>
        <v>MultiLineString ((692507.26192838733550161 7573519.77209283597767353, 692464.7244436937617138 7573513.27073054667562246))</v>
      </c>
      <c r="I28">
        <f ca="1"/>
        <v>0.9</v>
      </c>
      <c r="J28">
        <f ca="1"/>
        <v>0.9</v>
      </c>
      <c r="K28">
        <f ca="1"/>
        <v>0</v>
      </c>
      <c r="L28">
        <f ca="1"/>
        <v>692464.72444369295</v>
      </c>
      <c r="M28">
        <f ca="1"/>
        <v>7573513.2707305402</v>
      </c>
      <c r="N28">
        <f ca="1"/>
        <v>337.62054443359301</v>
      </c>
      <c r="O28">
        <f ca="1"/>
        <v>43.031445661568341</v>
      </c>
      <c r="P28">
        <f ca="1"/>
        <v>43.031445661568341</v>
      </c>
      <c r="Q28">
        <f ca="1"/>
        <v>42.537484694039449</v>
      </c>
      <c r="R28">
        <f ca="1"/>
        <v>6.5013622902333736</v>
      </c>
      <c r="S28">
        <f ca="1"/>
        <v>-0.88510131835903394</v>
      </c>
      <c r="T28" t="str">
        <f ca="1"/>
        <v>C</v>
      </c>
      <c r="U28">
        <f ca="1"/>
        <v>2.4E-2</v>
      </c>
      <c r="V28" s="7">
        <f ca="1"/>
        <v>90</v>
      </c>
      <c r="W28" t="str">
        <f ca="1"/>
        <v>R-17b</v>
      </c>
      <c r="X28" t="str">
        <f ca="1"/>
        <v>C</v>
      </c>
      <c r="AM28" t="str">
        <f ca="1"/>
        <v>R-7b</v>
      </c>
      <c r="AN28" t="str">
        <f ca="1"/>
        <v>R-7b</v>
      </c>
    </row>
    <row r="29" spans="1:40" x14ac:dyDescent="0.25">
      <c r="A29">
        <f ca="1"/>
        <v>13</v>
      </c>
      <c r="B29" t="str">
        <f ca="1"/>
        <v>R-17b</v>
      </c>
      <c r="C29" s="3" t="str">
        <f ca="1"/>
        <v>R-17b</v>
      </c>
      <c r="D29">
        <f ca="1"/>
        <v>0</v>
      </c>
      <c r="E29">
        <f ca="1"/>
        <v>337.62054443359301</v>
      </c>
      <c r="F29">
        <f ca="1"/>
        <v>336.73544311523398</v>
      </c>
      <c r="G29">
        <f ca="1"/>
        <v>1</v>
      </c>
      <c r="H29" t="str">
        <f ca="1"/>
        <v>MultiLineString ((692507.26192838733550161 7573519.77209283597767353, 692464.7244436937617138 7573513.27073054667562246))</v>
      </c>
      <c r="I29">
        <f ca="1"/>
        <v>0.9</v>
      </c>
      <c r="J29">
        <f ca="1"/>
        <v>0.9</v>
      </c>
      <c r="K29">
        <f ca="1"/>
        <v>0</v>
      </c>
      <c r="L29">
        <f ca="1"/>
        <v>692507.26192838699</v>
      </c>
      <c r="M29">
        <f ca="1"/>
        <v>7573519.7720928304</v>
      </c>
      <c r="N29">
        <f ca="1"/>
        <v>336.73544311523398</v>
      </c>
      <c r="O29">
        <f ca="1"/>
        <v>43.031445661568341</v>
      </c>
      <c r="P29">
        <f ca="1"/>
        <v>43.031445661568341</v>
      </c>
      <c r="Q29">
        <f ca="1"/>
        <v>42.537484694039449</v>
      </c>
      <c r="R29">
        <f ca="1"/>
        <v>6.5013622902333736</v>
      </c>
      <c r="S29">
        <f ca="1"/>
        <v>-0.88510131835903394</v>
      </c>
      <c r="T29" t="str">
        <f ca="1"/>
        <v>C</v>
      </c>
      <c r="U29">
        <f ca="1"/>
        <v>2.4E-2</v>
      </c>
      <c r="V29" s="7">
        <f ca="1"/>
        <v>90</v>
      </c>
      <c r="W29" t="str">
        <f ca="1"/>
        <v>R-17b</v>
      </c>
      <c r="X29" t="str">
        <f ca="1"/>
        <v>C</v>
      </c>
      <c r="AM29" t="str">
        <f ca="1"/>
        <v>R-7c</v>
      </c>
      <c r="AN29" t="str">
        <f ca="1"/>
        <v>R-7c</v>
      </c>
    </row>
    <row r="30" spans="1:40" x14ac:dyDescent="0.25">
      <c r="A30">
        <f ca="1"/>
        <v>14</v>
      </c>
      <c r="B30" t="str">
        <f ca="1"/>
        <v>R-18</v>
      </c>
      <c r="C30" s="3" t="str">
        <f ca="1"/>
        <v>R-18</v>
      </c>
      <c r="D30">
        <f ca="1"/>
        <v>1</v>
      </c>
      <c r="E30">
        <f ca="1"/>
        <v>326.11297607421801</v>
      </c>
      <c r="F30">
        <f ca="1"/>
        <v>326.04397583007801</v>
      </c>
      <c r="G30">
        <f ca="1"/>
        <v>5</v>
      </c>
      <c r="H30" t="str">
        <f ca="1"/>
        <v>MultiLineString ((693238.80200534139294177 7574681.5327999098226428, 693222.05678410606924444 7574705.88948534335941076))</v>
      </c>
      <c r="I30">
        <f ca="1"/>
        <v>1.2</v>
      </c>
      <c r="J30">
        <f ca="1"/>
        <v>1.2</v>
      </c>
      <c r="K30">
        <f ca="1"/>
        <v>0</v>
      </c>
      <c r="L30">
        <f ca="1"/>
        <v>693222.05678410595</v>
      </c>
      <c r="M30">
        <f ca="1"/>
        <v>7574705.8894853396</v>
      </c>
      <c r="N30">
        <f ca="1"/>
        <v>326.11297607421801</v>
      </c>
      <c r="O30">
        <f ca="1"/>
        <v>29.557580412442007</v>
      </c>
      <c r="P30">
        <f ca="1"/>
        <v>29.557580412442007</v>
      </c>
      <c r="Q30">
        <f ca="1"/>
        <v>16.745221235090867</v>
      </c>
      <c r="R30">
        <f ca="1"/>
        <v>-24.356685440056026</v>
      </c>
      <c r="S30">
        <f ca="1"/>
        <v>-6.9000244139999722E-2</v>
      </c>
      <c r="T30" t="str">
        <f ca="1"/>
        <v>C</v>
      </c>
      <c r="U30">
        <f ca="1"/>
        <v>2.4E-2</v>
      </c>
      <c r="V30" s="7">
        <f ca="1"/>
        <v>90</v>
      </c>
      <c r="W30" t="str">
        <f ca="1"/>
        <v>R-18</v>
      </c>
      <c r="X30" t="str">
        <f ca="1"/>
        <v>C</v>
      </c>
      <c r="AM30" t="str">
        <f ca="1"/>
        <v>R-8</v>
      </c>
      <c r="AN30" t="str">
        <f ca="1"/>
        <v>R-8</v>
      </c>
    </row>
    <row r="31" spans="1:40" x14ac:dyDescent="0.25">
      <c r="A31">
        <f ca="1"/>
        <v>14</v>
      </c>
      <c r="B31" t="str">
        <f ca="1"/>
        <v>R-18</v>
      </c>
      <c r="C31" s="3" t="str">
        <f ca="1"/>
        <v>R-18</v>
      </c>
      <c r="D31">
        <f ca="1"/>
        <v>0</v>
      </c>
      <c r="E31">
        <f ca="1"/>
        <v>326.11297607421801</v>
      </c>
      <c r="F31">
        <f ca="1"/>
        <v>326.04397583007801</v>
      </c>
      <c r="G31">
        <f ca="1"/>
        <v>5</v>
      </c>
      <c r="H31" t="str">
        <f ca="1"/>
        <v>MultiLineString ((693238.80200534139294177 7574681.5327999098226428, 693222.05678410606924444 7574705.88948534335941076))</v>
      </c>
      <c r="I31">
        <f ca="1"/>
        <v>1.2</v>
      </c>
      <c r="J31">
        <f ca="1"/>
        <v>1.2</v>
      </c>
      <c r="K31">
        <f ca="1"/>
        <v>0</v>
      </c>
      <c r="L31">
        <f ca="1"/>
        <v>693238.80200534104</v>
      </c>
      <c r="M31">
        <f ca="1"/>
        <v>7574681.5327998996</v>
      </c>
      <c r="N31">
        <f ca="1"/>
        <v>326.04397583007801</v>
      </c>
      <c r="O31">
        <f ca="1"/>
        <v>29.557580412442007</v>
      </c>
      <c r="P31">
        <f ca="1"/>
        <v>29.557580412442007</v>
      </c>
      <c r="Q31">
        <f ca="1"/>
        <v>16.745221235090867</v>
      </c>
      <c r="R31">
        <f ca="1"/>
        <v>-24.356685440056026</v>
      </c>
      <c r="S31">
        <f ca="1"/>
        <v>-6.9000244139999722E-2</v>
      </c>
      <c r="T31" t="str">
        <f ca="1"/>
        <v>C</v>
      </c>
      <c r="U31">
        <f ca="1"/>
        <v>2.4E-2</v>
      </c>
      <c r="V31" s="7">
        <f ca="1"/>
        <v>90</v>
      </c>
      <c r="W31" t="str">
        <f ca="1"/>
        <v>R-18</v>
      </c>
      <c r="X31" t="str">
        <f ca="1"/>
        <v>C</v>
      </c>
      <c r="AM31" t="str">
        <f ca="1"/>
        <v>R-9</v>
      </c>
      <c r="AN31" t="str">
        <f ca="1"/>
        <v>R-9</v>
      </c>
    </row>
    <row r="32" spans="1:40" x14ac:dyDescent="0.25">
      <c r="A32">
        <f ca="1"/>
        <v>15</v>
      </c>
      <c r="B32" t="str">
        <f ca="1"/>
        <v>R-18b</v>
      </c>
      <c r="C32" s="3" t="str">
        <f ca="1"/>
        <v>R-18b</v>
      </c>
      <c r="D32">
        <f ca="1"/>
        <v>1</v>
      </c>
      <c r="E32">
        <f ca="1"/>
        <v>328.62905883789</v>
      </c>
      <c r="F32">
        <f ca="1"/>
        <v>328.225982666015</v>
      </c>
      <c r="G32">
        <f ca="1"/>
        <v>1</v>
      </c>
      <c r="H32" t="str">
        <f ca="1"/>
        <v>MultiLineString ((692940.16620135749690235 7574340.58407421596348286, 692998.12120233732275665 7574357.67336937598884106))</v>
      </c>
      <c r="I32">
        <f ca="1"/>
        <v>1.2</v>
      </c>
      <c r="J32">
        <f ca="1"/>
        <v>1.2</v>
      </c>
      <c r="K32">
        <f ca="1"/>
        <v>0</v>
      </c>
      <c r="L32">
        <f ca="1"/>
        <v>692998.12120233697</v>
      </c>
      <c r="M32">
        <f ca="1"/>
        <v>7574357.6733693704</v>
      </c>
      <c r="N32">
        <f ca="1"/>
        <v>328.62905883789</v>
      </c>
      <c r="O32">
        <f ca="1"/>
        <v>60.422066727740912</v>
      </c>
      <c r="P32">
        <f ca="1"/>
        <v>60.422066727740912</v>
      </c>
      <c r="Q32">
        <f ca="1"/>
        <v>-57.95500097994227</v>
      </c>
      <c r="R32">
        <f ca="1"/>
        <v>-17.089295160025358</v>
      </c>
      <c r="S32">
        <f ca="1"/>
        <v>-0.403076171875</v>
      </c>
      <c r="T32" t="str">
        <f ca="1"/>
        <v>C</v>
      </c>
      <c r="U32">
        <f ca="1"/>
        <v>2.4E-2</v>
      </c>
      <c r="V32" s="7">
        <f ca="1"/>
        <v>90</v>
      </c>
      <c r="W32" t="str">
        <f ca="1"/>
        <v>R-18b</v>
      </c>
      <c r="X32" t="str">
        <f ca="1"/>
        <v>C</v>
      </c>
    </row>
    <row r="33" spans="1:24" x14ac:dyDescent="0.25">
      <c r="A33">
        <f ca="1"/>
        <v>15</v>
      </c>
      <c r="B33" t="str">
        <f ca="1"/>
        <v>R-18b</v>
      </c>
      <c r="C33" s="3" t="str">
        <f ca="1"/>
        <v>R-18b</v>
      </c>
      <c r="D33">
        <f ca="1"/>
        <v>0</v>
      </c>
      <c r="E33">
        <f ca="1"/>
        <v>328.62905883789</v>
      </c>
      <c r="F33">
        <f ca="1"/>
        <v>328.225982666015</v>
      </c>
      <c r="G33">
        <f ca="1"/>
        <v>1</v>
      </c>
      <c r="H33" t="str">
        <f ca="1"/>
        <v>MultiLineString ((692940.16620135749690235 7574340.58407421596348286, 692998.12120233732275665 7574357.67336937598884106))</v>
      </c>
      <c r="I33">
        <f ca="1"/>
        <v>1.2</v>
      </c>
      <c r="J33">
        <f ca="1"/>
        <v>1.2</v>
      </c>
      <c r="K33">
        <f ca="1"/>
        <v>0</v>
      </c>
      <c r="L33">
        <f ca="1"/>
        <v>692940.16620135703</v>
      </c>
      <c r="M33">
        <f ca="1"/>
        <v>7574340.5840742104</v>
      </c>
      <c r="N33">
        <f ca="1"/>
        <v>328.225982666015</v>
      </c>
      <c r="O33">
        <f ca="1"/>
        <v>60.422066727740912</v>
      </c>
      <c r="P33">
        <f ca="1"/>
        <v>60.422066727740912</v>
      </c>
      <c r="Q33">
        <f ca="1"/>
        <v>-57.95500097994227</v>
      </c>
      <c r="R33">
        <f ca="1"/>
        <v>-17.089295160025358</v>
      </c>
      <c r="S33">
        <f ca="1"/>
        <v>-0.403076171875</v>
      </c>
      <c r="T33" t="str">
        <f ca="1"/>
        <v>C</v>
      </c>
      <c r="U33">
        <f ca="1"/>
        <v>2.4E-2</v>
      </c>
      <c r="V33" s="7">
        <f ca="1"/>
        <v>90</v>
      </c>
      <c r="W33" t="str">
        <f ca="1"/>
        <v>R-18b</v>
      </c>
      <c r="X33" t="str">
        <f ca="1"/>
        <v>C</v>
      </c>
    </row>
    <row r="34" spans="1:24" x14ac:dyDescent="0.25">
      <c r="A34">
        <f ca="1"/>
        <v>16</v>
      </c>
      <c r="B34" t="str">
        <f ca="1"/>
        <v>R-19</v>
      </c>
      <c r="C34" s="3" t="str">
        <f ca="1"/>
        <v>R-19</v>
      </c>
      <c r="D34">
        <f ca="1"/>
        <v>1</v>
      </c>
      <c r="E34">
        <f ca="1"/>
        <v>326.90853881835898</v>
      </c>
      <c r="F34">
        <f ca="1"/>
        <v>326.70608520507801</v>
      </c>
      <c r="G34">
        <f ca="1"/>
        <v>4</v>
      </c>
      <c r="H34" t="str">
        <f ca="1"/>
        <v>MultiLineString ((693376.96487060177605599 7574871.00236042961478233, 693362.01173733605537564 7574889.67055786214768887))</v>
      </c>
      <c r="I34">
        <f ca="1"/>
        <v>0.9</v>
      </c>
      <c r="J34">
        <f ca="1"/>
        <v>0.9</v>
      </c>
      <c r="K34">
        <f ca="1"/>
        <v>0</v>
      </c>
      <c r="L34">
        <f ca="1"/>
        <v>693362.01173733606</v>
      </c>
      <c r="M34">
        <f ca="1"/>
        <v>7574889.6705578603</v>
      </c>
      <c r="N34">
        <f ca="1"/>
        <v>326.90853881835898</v>
      </c>
      <c r="O34">
        <f ca="1"/>
        <v>23.918565803497451</v>
      </c>
      <c r="P34">
        <f ca="1"/>
        <v>23.918565803497451</v>
      </c>
      <c r="Q34">
        <f ca="1"/>
        <v>14.953133264905773</v>
      </c>
      <c r="R34">
        <f ca="1"/>
        <v>-18.668197439983487</v>
      </c>
      <c r="S34">
        <f ca="1"/>
        <v>-0.20245361328096578</v>
      </c>
      <c r="T34" t="str">
        <f ca="1"/>
        <v>C</v>
      </c>
      <c r="U34">
        <f ca="1"/>
        <v>2.4E-2</v>
      </c>
      <c r="V34" s="7">
        <f ca="1"/>
        <v>90</v>
      </c>
      <c r="W34" t="str">
        <f ca="1"/>
        <v>R-19</v>
      </c>
      <c r="X34" t="str">
        <f ca="1"/>
        <v>C</v>
      </c>
    </row>
    <row r="35" spans="1:24" x14ac:dyDescent="0.25">
      <c r="A35">
        <f ca="1"/>
        <v>16</v>
      </c>
      <c r="B35" t="str">
        <f ca="1"/>
        <v>R-19</v>
      </c>
      <c r="C35" s="3" t="str">
        <f ca="1"/>
        <v>R-19</v>
      </c>
      <c r="D35">
        <f ca="1"/>
        <v>0</v>
      </c>
      <c r="E35">
        <f ca="1"/>
        <v>326.90853881835898</v>
      </c>
      <c r="F35">
        <f ca="1"/>
        <v>326.70608520507801</v>
      </c>
      <c r="G35">
        <f ca="1"/>
        <v>4</v>
      </c>
      <c r="H35" t="str">
        <f ca="1"/>
        <v>MultiLineString ((693376.96487060177605599 7574871.00236042961478233, 693362.01173733605537564 7574889.67055786214768887))</v>
      </c>
      <c r="I35">
        <f ca="1"/>
        <v>0.9</v>
      </c>
      <c r="J35">
        <f ca="1"/>
        <v>0.9</v>
      </c>
      <c r="K35">
        <f ca="1"/>
        <v>0</v>
      </c>
      <c r="L35">
        <f ca="1"/>
        <v>693376.96487060096</v>
      </c>
      <c r="M35">
        <f ca="1"/>
        <v>7574871.0023604203</v>
      </c>
      <c r="N35">
        <f ca="1"/>
        <v>326.70608520507801</v>
      </c>
      <c r="O35">
        <f ca="1"/>
        <v>23.918565803497451</v>
      </c>
      <c r="P35">
        <f ca="1"/>
        <v>23.918565803497451</v>
      </c>
      <c r="Q35">
        <f ca="1"/>
        <v>14.953133264905773</v>
      </c>
      <c r="R35">
        <f ca="1"/>
        <v>-18.668197439983487</v>
      </c>
      <c r="S35">
        <f ca="1"/>
        <v>-0.20245361328096578</v>
      </c>
      <c r="T35" t="str">
        <f ca="1"/>
        <v>C</v>
      </c>
      <c r="U35">
        <f ca="1"/>
        <v>2.4E-2</v>
      </c>
      <c r="V35" s="7">
        <f ca="1"/>
        <v>90</v>
      </c>
      <c r="W35" t="str">
        <f ca="1"/>
        <v>R-19</v>
      </c>
      <c r="X35" t="str">
        <f ca="1"/>
        <v>C</v>
      </c>
    </row>
    <row r="36" spans="1:24" x14ac:dyDescent="0.25">
      <c r="A36">
        <f ca="1"/>
        <v>17</v>
      </c>
      <c r="B36" t="str">
        <f ca="1"/>
        <v>R-2</v>
      </c>
      <c r="C36" s="3" t="str">
        <f ca="1"/>
        <v>R-2</v>
      </c>
      <c r="D36">
        <f ca="1"/>
        <v>1</v>
      </c>
      <c r="E36">
        <f ca="1"/>
        <v>381.20260620117102</v>
      </c>
      <c r="F36">
        <f ca="1"/>
        <v>379.03842163085898</v>
      </c>
      <c r="G36">
        <f ca="1"/>
        <v>1</v>
      </c>
      <c r="H36" t="str">
        <f ca="1"/>
        <v>MultiLineString ((687647.90818443091120571 7566198.13171269930899143, 687639.36691419442649931 7566249.71658932324498892))</v>
      </c>
      <c r="I36">
        <f ca="1"/>
        <v>1.5</v>
      </c>
      <c r="J36">
        <f ca="1"/>
        <v>1.5</v>
      </c>
      <c r="K36">
        <f ca="1"/>
        <v>0</v>
      </c>
      <c r="L36">
        <f ca="1"/>
        <v>687639.36691419396</v>
      </c>
      <c r="M36">
        <f ca="1"/>
        <v>7566249.7165893205</v>
      </c>
      <c r="N36">
        <f ca="1"/>
        <v>381.20260620117102</v>
      </c>
      <c r="O36">
        <f ca="1"/>
        <v>52.287214443150383</v>
      </c>
      <c r="P36">
        <f ca="1"/>
        <v>52.287214443150383</v>
      </c>
      <c r="Q36">
        <f ca="1"/>
        <v>8.5412702360190451</v>
      </c>
      <c r="R36">
        <f ca="1"/>
        <v>-51.584876630455256</v>
      </c>
      <c r="S36">
        <f ca="1"/>
        <v>-2.1641845703120453</v>
      </c>
      <c r="T36" t="str">
        <f ca="1"/>
        <v>C</v>
      </c>
      <c r="U36">
        <f ca="1"/>
        <v>2.4E-2</v>
      </c>
      <c r="V36" s="7">
        <f ca="1"/>
        <v>90</v>
      </c>
      <c r="W36" t="str">
        <f ca="1"/>
        <v>R-2</v>
      </c>
      <c r="X36" t="str">
        <f ca="1"/>
        <v>C</v>
      </c>
    </row>
    <row r="37" spans="1:24" x14ac:dyDescent="0.25">
      <c r="A37">
        <f ca="1"/>
        <v>17</v>
      </c>
      <c r="B37" t="str">
        <f ca="1"/>
        <v>R-2</v>
      </c>
      <c r="C37" s="3" t="str">
        <f ca="1"/>
        <v>R-2</v>
      </c>
      <c r="D37">
        <f ca="1"/>
        <v>0</v>
      </c>
      <c r="E37">
        <f ca="1"/>
        <v>381.20260620117102</v>
      </c>
      <c r="F37">
        <f ca="1"/>
        <v>379.03842163085898</v>
      </c>
      <c r="G37">
        <f ca="1"/>
        <v>1</v>
      </c>
      <c r="H37" t="str">
        <f ca="1"/>
        <v>MultiLineString ((687647.90818443091120571 7566198.13171269930899143, 687639.36691419442649931 7566249.71658932324498892))</v>
      </c>
      <c r="I37">
        <f ca="1"/>
        <v>1.5</v>
      </c>
      <c r="J37">
        <f ca="1"/>
        <v>1.5</v>
      </c>
      <c r="K37">
        <f ca="1"/>
        <v>0</v>
      </c>
      <c r="L37">
        <f ca="1"/>
        <v>687647.90818442998</v>
      </c>
      <c r="M37">
        <f ca="1"/>
        <v>7566198.13171269</v>
      </c>
      <c r="N37">
        <f ca="1"/>
        <v>379.03842163085898</v>
      </c>
      <c r="O37">
        <f ca="1"/>
        <v>52.287214443150383</v>
      </c>
      <c r="P37">
        <f ca="1"/>
        <v>52.287214443150383</v>
      </c>
      <c r="Q37">
        <f ca="1"/>
        <v>8.5412702360190451</v>
      </c>
      <c r="R37">
        <f ca="1"/>
        <v>-51.584876630455256</v>
      </c>
      <c r="S37">
        <f ca="1"/>
        <v>-2.1641845703120453</v>
      </c>
      <c r="T37" t="str">
        <f ca="1"/>
        <v>C</v>
      </c>
      <c r="U37">
        <f ca="1"/>
        <v>2.4E-2</v>
      </c>
      <c r="V37" s="7">
        <f ca="1"/>
        <v>90</v>
      </c>
      <c r="W37" t="str">
        <f ca="1"/>
        <v>R-2</v>
      </c>
      <c r="X37" t="str">
        <f ca="1"/>
        <v>C</v>
      </c>
    </row>
    <row r="38" spans="1:24" x14ac:dyDescent="0.25">
      <c r="A38">
        <f ca="1"/>
        <v>18</v>
      </c>
      <c r="B38" t="str">
        <f ca="1"/>
        <v>R-20</v>
      </c>
      <c r="C38" s="3" t="str">
        <f ca="1"/>
        <v>R-20</v>
      </c>
      <c r="D38">
        <f ca="1"/>
        <v>1</v>
      </c>
      <c r="E38">
        <f ca="1"/>
        <v>315.327</v>
      </c>
      <c r="F38">
        <f ca="1"/>
        <v>315.01</v>
      </c>
      <c r="G38">
        <f ca="1"/>
        <v>12</v>
      </c>
      <c r="H38" t="str">
        <f ca="1"/>
        <v>MultiLineString ((694752.0485145403072238 7576884.1145584462210536, 694747.08053479238878936 7576921.1605200907215476))</v>
      </c>
      <c r="I38">
        <f ca="1"/>
        <v>1.5</v>
      </c>
      <c r="J38">
        <f ca="1"/>
        <v>1.5</v>
      </c>
      <c r="K38">
        <f ca="1"/>
        <v>0</v>
      </c>
      <c r="L38">
        <f ca="1"/>
        <v>694747.08053479204</v>
      </c>
      <c r="M38">
        <f ca="1"/>
        <v>7576921.1605200898</v>
      </c>
      <c r="N38">
        <f ca="1"/>
        <v>315.327</v>
      </c>
      <c r="O38">
        <f ca="1"/>
        <v>37.377588169323474</v>
      </c>
      <c r="P38">
        <f ca="1"/>
        <v>37.377588169323474</v>
      </c>
      <c r="Q38">
        <f ca="1"/>
        <v>4.9679797479184344</v>
      </c>
      <c r="R38">
        <f ca="1"/>
        <v>-37.045961650088429</v>
      </c>
      <c r="S38">
        <f ca="1"/>
        <v>-0.31700000000000728</v>
      </c>
      <c r="T38" t="str">
        <f ca="1"/>
        <v>C</v>
      </c>
      <c r="U38">
        <f ca="1"/>
        <v>2.4E-2</v>
      </c>
      <c r="V38" s="7">
        <f ca="1"/>
        <v>90</v>
      </c>
      <c r="W38" t="str">
        <f ca="1"/>
        <v>R-20</v>
      </c>
      <c r="X38" t="str">
        <f ca="1"/>
        <v>C</v>
      </c>
    </row>
    <row r="39" spans="1:24" x14ac:dyDescent="0.25">
      <c r="A39">
        <f ca="1"/>
        <v>18</v>
      </c>
      <c r="B39" t="str">
        <f ca="1"/>
        <v>R-20</v>
      </c>
      <c r="C39" s="3" t="str">
        <f ca="1"/>
        <v>R-20</v>
      </c>
      <c r="D39">
        <f ca="1"/>
        <v>0</v>
      </c>
      <c r="E39">
        <f ca="1"/>
        <v>315.327</v>
      </c>
      <c r="F39">
        <f ca="1"/>
        <v>315.01</v>
      </c>
      <c r="G39">
        <f ca="1"/>
        <v>12</v>
      </c>
      <c r="H39" t="str">
        <f ca="1"/>
        <v>MultiLineString ((694752.0485145403072238 7576884.1145584462210536, 694747.08053479238878936 7576921.1605200907215476))</v>
      </c>
      <c r="I39">
        <f ca="1"/>
        <v>1.5</v>
      </c>
      <c r="J39">
        <f ca="1"/>
        <v>1.5</v>
      </c>
      <c r="K39">
        <f ca="1"/>
        <v>0</v>
      </c>
      <c r="L39">
        <f ca="1"/>
        <v>694752.04851453996</v>
      </c>
      <c r="M39">
        <f ca="1"/>
        <v>7576884.1145584397</v>
      </c>
      <c r="N39">
        <f ca="1"/>
        <v>315.01</v>
      </c>
      <c r="O39">
        <f ca="1"/>
        <v>37.377588169323474</v>
      </c>
      <c r="P39">
        <f ca="1"/>
        <v>37.377588169323474</v>
      </c>
      <c r="Q39">
        <f ca="1"/>
        <v>4.9679797479184344</v>
      </c>
      <c r="R39">
        <f ca="1"/>
        <v>-37.045961650088429</v>
      </c>
      <c r="S39">
        <f ca="1"/>
        <v>-0.31700000000000728</v>
      </c>
      <c r="T39" t="str">
        <f ca="1"/>
        <v>C</v>
      </c>
      <c r="U39">
        <f ca="1"/>
        <v>2.4E-2</v>
      </c>
      <c r="V39" s="7">
        <f ca="1"/>
        <v>90</v>
      </c>
      <c r="W39" t="str">
        <f ca="1"/>
        <v>R-20</v>
      </c>
      <c r="X39" t="str">
        <f ca="1"/>
        <v>C</v>
      </c>
    </row>
    <row r="40" spans="1:24" x14ac:dyDescent="0.25">
      <c r="A40">
        <f ca="1"/>
        <v>19</v>
      </c>
      <c r="B40" t="str">
        <f ca="1"/>
        <v>R-21</v>
      </c>
      <c r="C40" s="3" t="str">
        <f ca="1"/>
        <v>R-21</v>
      </c>
      <c r="D40">
        <f ca="1"/>
        <v>1</v>
      </c>
      <c r="E40">
        <f ca="1"/>
        <v>316.81463623046801</v>
      </c>
      <c r="F40">
        <f ca="1"/>
        <v>316.600006103515</v>
      </c>
      <c r="G40">
        <f ca="1"/>
        <v>4</v>
      </c>
      <c r="H40" t="str">
        <f ca="1"/>
        <v>MultiLineString ((695655.97098285146057606 7577759.65050221607089043, 695630.15128690202254802 7577795.31511820387095213))</v>
      </c>
      <c r="I40">
        <f ca="1"/>
        <v>1.5</v>
      </c>
      <c r="J40">
        <f ca="1"/>
        <v>1.5</v>
      </c>
      <c r="K40">
        <f ca="1"/>
        <v>0</v>
      </c>
      <c r="L40">
        <f ca="1"/>
        <v>695630.15128690202</v>
      </c>
      <c r="M40">
        <f ca="1"/>
        <v>7577795.3151182001</v>
      </c>
      <c r="N40">
        <f ca="1"/>
        <v>316.81463623046801</v>
      </c>
      <c r="O40">
        <f ca="1"/>
        <v>44.029780065927149</v>
      </c>
      <c r="P40">
        <f ca="1"/>
        <v>44.029780065927149</v>
      </c>
      <c r="Q40">
        <f ca="1"/>
        <v>25.819695948972367</v>
      </c>
      <c r="R40">
        <f ca="1"/>
        <v>-35.664615990594029</v>
      </c>
      <c r="S40">
        <f ca="1"/>
        <v>-0.21463012695301131</v>
      </c>
      <c r="T40" t="str">
        <f ca="1"/>
        <v>C</v>
      </c>
      <c r="U40">
        <f ca="1"/>
        <v>2.4E-2</v>
      </c>
      <c r="V40" s="7">
        <f ca="1"/>
        <v>90</v>
      </c>
      <c r="W40" t="str">
        <f ca="1"/>
        <v>R-21</v>
      </c>
      <c r="X40" t="str">
        <f ca="1"/>
        <v>C</v>
      </c>
    </row>
    <row r="41" spans="1:24" x14ac:dyDescent="0.25">
      <c r="A41">
        <f ca="1"/>
        <v>19</v>
      </c>
      <c r="B41" t="str">
        <f ca="1"/>
        <v>R-21</v>
      </c>
      <c r="C41" s="3" t="str">
        <f ca="1"/>
        <v>R-21</v>
      </c>
      <c r="D41">
        <f ca="1"/>
        <v>0</v>
      </c>
      <c r="E41">
        <f ca="1"/>
        <v>316.81463623046801</v>
      </c>
      <c r="F41">
        <f ca="1"/>
        <v>316.600006103515</v>
      </c>
      <c r="G41">
        <f ca="1"/>
        <v>4</v>
      </c>
      <c r="H41" t="str">
        <f ca="1"/>
        <v>MultiLineString ((695655.97098285146057606 7577759.65050221607089043, 695630.15128690202254802 7577795.31511820387095213))</v>
      </c>
      <c r="I41">
        <f ca="1"/>
        <v>1.5</v>
      </c>
      <c r="J41">
        <f ca="1"/>
        <v>1.5</v>
      </c>
      <c r="K41">
        <f ca="1"/>
        <v>0</v>
      </c>
      <c r="L41">
        <f ca="1"/>
        <v>695655.97098285099</v>
      </c>
      <c r="M41">
        <f ca="1"/>
        <v>7577759.6505022096</v>
      </c>
      <c r="N41">
        <f ca="1"/>
        <v>316.600006103515</v>
      </c>
      <c r="O41">
        <f ca="1"/>
        <v>44.029780065927149</v>
      </c>
      <c r="P41">
        <f ca="1"/>
        <v>44.029780065927149</v>
      </c>
      <c r="Q41">
        <f ca="1"/>
        <v>25.819695948972367</v>
      </c>
      <c r="R41">
        <f ca="1"/>
        <v>-35.664615990594029</v>
      </c>
      <c r="S41">
        <f ca="1"/>
        <v>-0.21463012695301131</v>
      </c>
      <c r="T41" t="str">
        <f ca="1"/>
        <v>C</v>
      </c>
      <c r="U41">
        <f ca="1"/>
        <v>2.4E-2</v>
      </c>
      <c r="V41" s="7">
        <f ca="1"/>
        <v>90</v>
      </c>
      <c r="W41" t="str">
        <f ca="1"/>
        <v>R-21</v>
      </c>
      <c r="X41" t="str">
        <f ca="1"/>
        <v>C</v>
      </c>
    </row>
    <row r="42" spans="1:24" x14ac:dyDescent="0.25">
      <c r="A42">
        <f ca="1"/>
        <v>20</v>
      </c>
      <c r="B42" t="str">
        <f ca="1"/>
        <v>R-22</v>
      </c>
      <c r="C42" s="3" t="str">
        <f ca="1"/>
        <v>R-22</v>
      </c>
      <c r="D42">
        <f ca="1"/>
        <v>1</v>
      </c>
      <c r="E42">
        <f ca="1"/>
        <v>322.864654541015</v>
      </c>
      <c r="F42">
        <f ca="1"/>
        <v>322.106842041015</v>
      </c>
      <c r="G42">
        <f ca="1"/>
        <v>2</v>
      </c>
      <c r="H42" t="str">
        <f ca="1"/>
        <v>MultiLineString ((696091.00499661697540432 7577899.89417445752769709, 696089.80277840339113027 7577931.24743920471519232))</v>
      </c>
      <c r="I42">
        <f ca="1"/>
        <v>1.2</v>
      </c>
      <c r="J42">
        <f ca="1"/>
        <v>1.2</v>
      </c>
      <c r="K42">
        <f ca="1"/>
        <v>0</v>
      </c>
      <c r="L42">
        <f ca="1"/>
        <v>696089.80277840304</v>
      </c>
      <c r="M42">
        <f ca="1"/>
        <v>7577931.2474392001</v>
      </c>
      <c r="N42">
        <f ca="1"/>
        <v>322.864654541015</v>
      </c>
      <c r="O42">
        <f ca="1"/>
        <v>31.37630537705331</v>
      </c>
      <c r="P42">
        <f ca="1"/>
        <v>31.37630537705331</v>
      </c>
      <c r="Q42">
        <f ca="1"/>
        <v>1.2022182130021974</v>
      </c>
      <c r="R42">
        <f ca="1"/>
        <v>-31.353264749981463</v>
      </c>
      <c r="S42">
        <f ca="1"/>
        <v>-0.7578125</v>
      </c>
      <c r="T42" t="str">
        <f ca="1"/>
        <v>C</v>
      </c>
      <c r="U42">
        <f ca="1"/>
        <v>2.4E-2</v>
      </c>
      <c r="V42" s="7">
        <f ca="1"/>
        <v>90</v>
      </c>
      <c r="W42" t="str">
        <f ca="1"/>
        <v>R-22</v>
      </c>
      <c r="X42" t="str">
        <f ca="1"/>
        <v>C</v>
      </c>
    </row>
    <row r="43" spans="1:24" x14ac:dyDescent="0.25">
      <c r="A43">
        <f ca="1"/>
        <v>20</v>
      </c>
      <c r="B43" t="str">
        <f ca="1"/>
        <v>R-22</v>
      </c>
      <c r="C43" s="3" t="str">
        <f ca="1"/>
        <v>R-22</v>
      </c>
      <c r="D43">
        <f ca="1"/>
        <v>0</v>
      </c>
      <c r="E43">
        <f ca="1"/>
        <v>322.864654541015</v>
      </c>
      <c r="F43">
        <f ca="1"/>
        <v>322.106842041015</v>
      </c>
      <c r="G43">
        <f ca="1"/>
        <v>2</v>
      </c>
      <c r="H43" t="str">
        <f ca="1"/>
        <v>MultiLineString ((696091.00499661697540432 7577899.89417445752769709, 696089.80277840339113027 7577931.24743920471519232))</v>
      </c>
      <c r="I43">
        <f ca="1"/>
        <v>1.2</v>
      </c>
      <c r="J43">
        <f ca="1"/>
        <v>1.2</v>
      </c>
      <c r="K43">
        <f ca="1"/>
        <v>0</v>
      </c>
      <c r="L43">
        <f ca="1"/>
        <v>696091.00499661604</v>
      </c>
      <c r="M43">
        <f ca="1"/>
        <v>7577899.8941744501</v>
      </c>
      <c r="N43">
        <f ca="1"/>
        <v>322.106842041015</v>
      </c>
      <c r="O43">
        <f ca="1"/>
        <v>31.37630537705331</v>
      </c>
      <c r="P43">
        <f ca="1"/>
        <v>31.37630537705331</v>
      </c>
      <c r="Q43">
        <f ca="1"/>
        <v>1.2022182130021974</v>
      </c>
      <c r="R43">
        <f ca="1"/>
        <v>-31.353264749981463</v>
      </c>
      <c r="S43">
        <f ca="1"/>
        <v>-0.7578125</v>
      </c>
      <c r="T43" t="str">
        <f ca="1"/>
        <v>C</v>
      </c>
      <c r="U43">
        <f ca="1"/>
        <v>2.4E-2</v>
      </c>
      <c r="V43" s="7">
        <f ca="1"/>
        <v>90</v>
      </c>
      <c r="W43" t="str">
        <f ca="1"/>
        <v>R-22</v>
      </c>
      <c r="X43" t="str">
        <f ca="1"/>
        <v>C</v>
      </c>
    </row>
    <row r="44" spans="1:24" x14ac:dyDescent="0.25">
      <c r="A44">
        <f ca="1"/>
        <v>21</v>
      </c>
      <c r="B44" t="str">
        <f ca="1"/>
        <v>R-3</v>
      </c>
      <c r="C44" s="3" t="str">
        <f ca="1"/>
        <v>R-3</v>
      </c>
      <c r="D44">
        <f ca="1"/>
        <v>1</v>
      </c>
      <c r="E44">
        <f ca="1"/>
        <v>375.83660888671801</v>
      </c>
      <c r="F44">
        <f ca="1"/>
        <v>379.22119140625</v>
      </c>
      <c r="G44">
        <f ca="1"/>
        <v>2</v>
      </c>
      <c r="H44" t="str">
        <f ca="1"/>
        <v>MultiLineString ((687971.95803359965793788 7566446.15060707088559866, 687955.61175127199385315 7566504.66286767460405827))</v>
      </c>
      <c r="I44">
        <f ca="1"/>
        <v>1.5</v>
      </c>
      <c r="J44">
        <f ca="1"/>
        <v>1.5</v>
      </c>
      <c r="K44">
        <f ca="1"/>
        <v>0</v>
      </c>
      <c r="L44">
        <f ca="1"/>
        <v>687955.61175127095</v>
      </c>
      <c r="M44">
        <f ca="1"/>
        <v>7566504.6628676699</v>
      </c>
      <c r="N44">
        <f ca="1"/>
        <v>375.83660888671801</v>
      </c>
      <c r="O44">
        <f ca="1"/>
        <v>60.752659089694454</v>
      </c>
      <c r="P44">
        <f ca="1"/>
        <v>60.752659089694454</v>
      </c>
      <c r="Q44">
        <f ca="1"/>
        <v>16.346282328013331</v>
      </c>
      <c r="R44">
        <f ca="1"/>
        <v>-58.512260599993169</v>
      </c>
      <c r="S44">
        <f ca="1"/>
        <v>3.384582519531989</v>
      </c>
      <c r="T44" t="str">
        <f ca="1"/>
        <v>C</v>
      </c>
      <c r="U44">
        <f ca="1"/>
        <v>2.4E-2</v>
      </c>
      <c r="V44" s="7">
        <f ca="1"/>
        <v>90</v>
      </c>
      <c r="W44" t="str">
        <f ca="1"/>
        <v>R-3</v>
      </c>
      <c r="X44" t="str">
        <f ca="1"/>
        <v>C</v>
      </c>
    </row>
    <row r="45" spans="1:24" x14ac:dyDescent="0.25">
      <c r="A45">
        <f ca="1"/>
        <v>21</v>
      </c>
      <c r="B45" t="str">
        <f ca="1"/>
        <v>R-3</v>
      </c>
      <c r="C45" s="3" t="str">
        <f ca="1"/>
        <v>R-3</v>
      </c>
      <c r="D45">
        <f ca="1"/>
        <v>0</v>
      </c>
      <c r="E45">
        <f ca="1"/>
        <v>375.83660888671801</v>
      </c>
      <c r="F45">
        <f ca="1"/>
        <v>379.22119140625</v>
      </c>
      <c r="G45">
        <f ca="1"/>
        <v>2</v>
      </c>
      <c r="H45" t="str">
        <f ca="1"/>
        <v>MultiLineString ((687971.95803359965793788 7566446.15060707088559866, 687955.61175127199385315 7566504.66286767460405827))</v>
      </c>
      <c r="I45">
        <f ca="1"/>
        <v>1.5</v>
      </c>
      <c r="J45">
        <f ca="1"/>
        <v>1.5</v>
      </c>
      <c r="K45">
        <f ca="1"/>
        <v>0</v>
      </c>
      <c r="L45">
        <f ca="1"/>
        <v>687971.95803359896</v>
      </c>
      <c r="M45">
        <f ca="1"/>
        <v>7566446.15060707</v>
      </c>
      <c r="N45">
        <f ca="1"/>
        <v>379.22119140625</v>
      </c>
      <c r="O45">
        <f ca="1"/>
        <v>60.752659089694454</v>
      </c>
      <c r="P45">
        <f ca="1"/>
        <v>60.752659089694454</v>
      </c>
      <c r="Q45">
        <f ca="1"/>
        <v>16.346282328013331</v>
      </c>
      <c r="R45">
        <f ca="1"/>
        <v>-58.512260599993169</v>
      </c>
      <c r="S45">
        <f ca="1"/>
        <v>3.384582519531989</v>
      </c>
      <c r="T45" t="str">
        <f ca="1"/>
        <v>C</v>
      </c>
      <c r="U45">
        <f ca="1"/>
        <v>2.4E-2</v>
      </c>
      <c r="V45" s="7">
        <f ca="1"/>
        <v>90</v>
      </c>
      <c r="W45" t="str">
        <f ca="1"/>
        <v>R-3</v>
      </c>
      <c r="X45" t="str">
        <f ca="1"/>
        <v>C</v>
      </c>
    </row>
    <row r="46" spans="1:24" x14ac:dyDescent="0.25">
      <c r="A46">
        <f ca="1"/>
        <v>22</v>
      </c>
      <c r="B46" t="str">
        <f ca="1"/>
        <v>R-4</v>
      </c>
      <c r="C46" s="3" t="str">
        <f ca="1"/>
        <v>R-4</v>
      </c>
      <c r="D46">
        <f ca="1"/>
        <v>1</v>
      </c>
      <c r="E46">
        <f ca="1"/>
        <v>364.83699999999999</v>
      </c>
      <c r="F46">
        <f ca="1"/>
        <v>364.75</v>
      </c>
      <c r="G46">
        <f ca="1"/>
        <v>1</v>
      </c>
      <c r="H46" t="str">
        <f ca="1"/>
        <v>MultiLineString ((688863.53434349712915719 7566883.80460810009390116, 688881.62753190065268427 7566950.32748960889875889))</v>
      </c>
      <c r="I46">
        <f ca="1"/>
        <v>1.5</v>
      </c>
      <c r="J46">
        <f ca="1"/>
        <v>1.5</v>
      </c>
      <c r="K46">
        <f ca="1"/>
        <v>0</v>
      </c>
      <c r="L46">
        <f ca="1"/>
        <v>688881.62753189995</v>
      </c>
      <c r="M46">
        <f ca="1"/>
        <v>7566950.3274895996</v>
      </c>
      <c r="N46">
        <f ca="1"/>
        <v>364.83699999999999</v>
      </c>
      <c r="O46">
        <f ca="1"/>
        <v>68.939518634668033</v>
      </c>
      <c r="P46">
        <f ca="1"/>
        <v>68.939518634668033</v>
      </c>
      <c r="Q46">
        <f ca="1"/>
        <v>-18.09318840294145</v>
      </c>
      <c r="R46">
        <f ca="1"/>
        <v>-66.522881499491632</v>
      </c>
      <c r="S46">
        <f ca="1"/>
        <v>-8.6999999999989086E-2</v>
      </c>
      <c r="T46" t="str">
        <f ca="1"/>
        <v>C</v>
      </c>
      <c r="U46">
        <f ca="1"/>
        <v>2.4E-2</v>
      </c>
      <c r="V46" s="7">
        <f ca="1"/>
        <v>90</v>
      </c>
      <c r="W46" t="str">
        <f ca="1"/>
        <v>R-4</v>
      </c>
      <c r="X46" t="str">
        <f ca="1"/>
        <v>C</v>
      </c>
    </row>
    <row r="47" spans="1:24" x14ac:dyDescent="0.25">
      <c r="A47">
        <f ca="1"/>
        <v>22</v>
      </c>
      <c r="B47" t="str">
        <f ca="1"/>
        <v>R-4</v>
      </c>
      <c r="C47" s="3" t="str">
        <f ca="1"/>
        <v>R-4</v>
      </c>
      <c r="D47">
        <f ca="1"/>
        <v>0</v>
      </c>
      <c r="E47">
        <f ca="1"/>
        <v>364.83699999999999</v>
      </c>
      <c r="F47">
        <f ca="1"/>
        <v>364.75</v>
      </c>
      <c r="G47">
        <f ca="1"/>
        <v>1</v>
      </c>
      <c r="H47" t="str">
        <f ca="1"/>
        <v>MultiLineString ((688863.53434349712915719 7566883.80460810009390116, 688881.62753190065268427 7566950.32748960889875889))</v>
      </c>
      <c r="I47">
        <f ca="1"/>
        <v>1.5</v>
      </c>
      <c r="J47">
        <f ca="1"/>
        <v>1.5</v>
      </c>
      <c r="K47">
        <f ca="1"/>
        <v>0</v>
      </c>
      <c r="L47">
        <f ca="1"/>
        <v>688863.53434349701</v>
      </c>
      <c r="M47">
        <f ca="1"/>
        <v>7566883.8046081001</v>
      </c>
      <c r="N47">
        <f ca="1"/>
        <v>364.75</v>
      </c>
      <c r="O47">
        <f ca="1"/>
        <v>68.939518634668033</v>
      </c>
      <c r="P47">
        <f ca="1"/>
        <v>68.939518634668033</v>
      </c>
      <c r="Q47">
        <f ca="1"/>
        <v>-18.09318840294145</v>
      </c>
      <c r="R47">
        <f ca="1"/>
        <v>-66.522881499491632</v>
      </c>
      <c r="S47">
        <f ca="1"/>
        <v>-8.6999999999989086E-2</v>
      </c>
      <c r="T47" t="str">
        <f ca="1"/>
        <v>C</v>
      </c>
      <c r="U47">
        <f ca="1"/>
        <v>2.4E-2</v>
      </c>
      <c r="V47" s="7">
        <f ca="1"/>
        <v>90</v>
      </c>
      <c r="W47" t="str">
        <f ca="1"/>
        <v>R-4</v>
      </c>
      <c r="X47" t="str">
        <f ca="1"/>
        <v>C</v>
      </c>
    </row>
    <row r="48" spans="1:24" x14ac:dyDescent="0.25">
      <c r="A48">
        <f ca="1"/>
        <v>23</v>
      </c>
      <c r="B48" t="str">
        <f ca="1"/>
        <v>R-5</v>
      </c>
      <c r="C48" s="3" t="str">
        <f ca="1"/>
        <v>R-5</v>
      </c>
      <c r="D48">
        <f ca="1"/>
        <v>1</v>
      </c>
      <c r="E48">
        <f ca="1"/>
        <v>363.65560913085898</v>
      </c>
      <c r="F48">
        <f ca="1"/>
        <v>363.08898925781199</v>
      </c>
      <c r="G48">
        <f ca="1"/>
        <v>1</v>
      </c>
      <c r="H48" t="str">
        <f ca="1"/>
        <v>MultiLineString ((689064.92991105315741152 7566962.08014303725212812, 689051.27705024543683976 7567000.71681035682559013))</v>
      </c>
      <c r="I48">
        <f ca="1"/>
        <v>1.5</v>
      </c>
      <c r="J48">
        <f ca="1"/>
        <v>1.5</v>
      </c>
      <c r="K48">
        <f ca="1"/>
        <v>0</v>
      </c>
      <c r="L48">
        <f ca="1"/>
        <v>689051.27705024497</v>
      </c>
      <c r="M48">
        <f ca="1"/>
        <v>7567000.7168103503</v>
      </c>
      <c r="N48">
        <f ca="1"/>
        <v>363.65560913085898</v>
      </c>
      <c r="O48">
        <f ca="1"/>
        <v>40.977953461341762</v>
      </c>
      <c r="P48">
        <f ca="1"/>
        <v>40.977953461341762</v>
      </c>
      <c r="Q48">
        <f ca="1"/>
        <v>13.652860808069818</v>
      </c>
      <c r="R48">
        <f ca="1"/>
        <v>-38.636667320504785</v>
      </c>
      <c r="S48">
        <f ca="1"/>
        <v>-0.56661987304698869</v>
      </c>
      <c r="T48" t="str">
        <f ca="1"/>
        <v>C</v>
      </c>
      <c r="U48">
        <f ca="1"/>
        <v>2.4E-2</v>
      </c>
      <c r="V48" s="7">
        <f ca="1"/>
        <v>90</v>
      </c>
      <c r="W48" t="str">
        <f ca="1"/>
        <v>R-5</v>
      </c>
      <c r="X48" t="str">
        <f ca="1"/>
        <v>C</v>
      </c>
    </row>
    <row r="49" spans="1:24" x14ac:dyDescent="0.25">
      <c r="A49">
        <f ca="1"/>
        <v>23</v>
      </c>
      <c r="B49" t="str">
        <f ca="1"/>
        <v>R-5</v>
      </c>
      <c r="C49" s="3" t="str">
        <f ca="1"/>
        <v>R-5</v>
      </c>
      <c r="D49">
        <f ca="1"/>
        <v>0</v>
      </c>
      <c r="E49">
        <f ca="1"/>
        <v>363.65560913085898</v>
      </c>
      <c r="F49">
        <f ca="1"/>
        <v>363.08898925781199</v>
      </c>
      <c r="G49">
        <f ca="1"/>
        <v>1</v>
      </c>
      <c r="H49" t="str">
        <f ca="1"/>
        <v>MultiLineString ((689064.92991105315741152 7566962.08014303725212812, 689051.27705024543683976 7567000.71681035682559013))</v>
      </c>
      <c r="I49">
        <f ca="1"/>
        <v>1.5</v>
      </c>
      <c r="J49">
        <f ca="1"/>
        <v>1.5</v>
      </c>
      <c r="K49">
        <f ca="1"/>
        <v>0</v>
      </c>
      <c r="L49">
        <f ca="1"/>
        <v>689064.92991105304</v>
      </c>
      <c r="M49">
        <f ca="1"/>
        <v>7566962.0801430298</v>
      </c>
      <c r="N49">
        <f ca="1"/>
        <v>363.08898925781199</v>
      </c>
      <c r="O49">
        <f ca="1"/>
        <v>40.977953461341762</v>
      </c>
      <c r="P49">
        <f ca="1"/>
        <v>40.977953461341762</v>
      </c>
      <c r="Q49">
        <f ca="1"/>
        <v>13.652860808069818</v>
      </c>
      <c r="R49">
        <f ca="1"/>
        <v>-38.636667320504785</v>
      </c>
      <c r="S49">
        <f ca="1"/>
        <v>-0.56661987304698869</v>
      </c>
      <c r="T49" t="str">
        <f ca="1"/>
        <v>C</v>
      </c>
      <c r="U49">
        <f ca="1"/>
        <v>2.4E-2</v>
      </c>
      <c r="V49" s="7">
        <f ca="1"/>
        <v>90</v>
      </c>
      <c r="W49" t="str">
        <f ca="1"/>
        <v>R-5</v>
      </c>
      <c r="X49" t="str">
        <f ca="1"/>
        <v>C</v>
      </c>
    </row>
    <row r="50" spans="1:24" x14ac:dyDescent="0.25">
      <c r="A50">
        <f ca="1"/>
        <v>24</v>
      </c>
      <c r="B50" t="str">
        <f ca="1"/>
        <v>R-6</v>
      </c>
      <c r="C50" s="3" t="str">
        <f ca="1"/>
        <v>R-6</v>
      </c>
      <c r="D50">
        <f ca="1"/>
        <v>1</v>
      </c>
      <c r="E50">
        <f ca="1"/>
        <v>353.18801879882801</v>
      </c>
      <c r="F50">
        <f ca="1"/>
        <v>352.41442871093699</v>
      </c>
      <c r="G50">
        <f ca="1"/>
        <v>14</v>
      </c>
      <c r="H50" t="str">
        <f ca="1"/>
        <v>MultiLineString ((689871.65609456459060311 7567415.68947762716561556, 689840.85410076985135674 7567442.52291673887521029))</v>
      </c>
      <c r="I50">
        <f ca="1"/>
        <v>1.5</v>
      </c>
      <c r="J50">
        <f ca="1"/>
        <v>1.5</v>
      </c>
      <c r="K50">
        <f ca="1"/>
        <v>0</v>
      </c>
      <c r="L50">
        <f ca="1"/>
        <v>689840.85410076904</v>
      </c>
      <c r="M50">
        <f ca="1"/>
        <v>7567442.5229167296</v>
      </c>
      <c r="N50">
        <f ca="1"/>
        <v>353.18801879882801</v>
      </c>
      <c r="O50">
        <f ca="1"/>
        <v>40.8509030035734</v>
      </c>
      <c r="P50">
        <f ca="1"/>
        <v>40.8509030035734</v>
      </c>
      <c r="Q50">
        <f ca="1"/>
        <v>30.801993794972077</v>
      </c>
      <c r="R50">
        <f ca="1"/>
        <v>-26.83343910984695</v>
      </c>
      <c r="S50">
        <f ca="1"/>
        <v>-0.7735900878910229</v>
      </c>
      <c r="T50" t="str">
        <f ca="1"/>
        <v>C</v>
      </c>
      <c r="U50">
        <f ca="1"/>
        <v>2.4E-2</v>
      </c>
      <c r="V50" s="7">
        <f ca="1"/>
        <v>90</v>
      </c>
      <c r="W50" t="str">
        <f ca="1"/>
        <v>R-6</v>
      </c>
      <c r="X50" t="str">
        <f ca="1"/>
        <v>C</v>
      </c>
    </row>
    <row r="51" spans="1:24" x14ac:dyDescent="0.25">
      <c r="A51">
        <f ca="1"/>
        <v>24</v>
      </c>
      <c r="B51" t="str">
        <f ca="1"/>
        <v>R-6</v>
      </c>
      <c r="C51" s="3" t="str">
        <f ca="1"/>
        <v>R-6</v>
      </c>
      <c r="D51">
        <f ca="1"/>
        <v>0</v>
      </c>
      <c r="E51">
        <f ca="1"/>
        <v>353.18801879882801</v>
      </c>
      <c r="F51">
        <f ca="1"/>
        <v>352.41442871093699</v>
      </c>
      <c r="G51">
        <f ca="1"/>
        <v>14</v>
      </c>
      <c r="H51" t="str">
        <f ca="1"/>
        <v>MultiLineString ((689871.65609456459060311 7567415.68947762716561556, 689840.85410076985135674 7567442.52291673887521029))</v>
      </c>
      <c r="I51">
        <f ca="1"/>
        <v>1.5</v>
      </c>
      <c r="J51">
        <f ca="1"/>
        <v>1.5</v>
      </c>
      <c r="K51">
        <f ca="1"/>
        <v>0</v>
      </c>
      <c r="L51">
        <f ca="1"/>
        <v>689871.65609456401</v>
      </c>
      <c r="M51">
        <f ca="1"/>
        <v>7567415.6894776197</v>
      </c>
      <c r="N51">
        <f ca="1"/>
        <v>352.41442871093699</v>
      </c>
      <c r="O51">
        <f ca="1"/>
        <v>40.8509030035734</v>
      </c>
      <c r="P51">
        <f ca="1"/>
        <v>40.8509030035734</v>
      </c>
      <c r="Q51">
        <f ca="1"/>
        <v>30.801993794972077</v>
      </c>
      <c r="R51">
        <f ca="1"/>
        <v>-26.83343910984695</v>
      </c>
      <c r="S51">
        <f ca="1"/>
        <v>-0.7735900878910229</v>
      </c>
      <c r="T51" t="str">
        <f ca="1"/>
        <v>C</v>
      </c>
      <c r="U51">
        <f ca="1"/>
        <v>2.4E-2</v>
      </c>
      <c r="V51" s="7">
        <f ca="1"/>
        <v>90</v>
      </c>
      <c r="W51" t="str">
        <f ca="1"/>
        <v>R-6</v>
      </c>
      <c r="X51" t="str">
        <f ca="1"/>
        <v>C</v>
      </c>
    </row>
    <row r="52" spans="1:24" x14ac:dyDescent="0.25">
      <c r="A52">
        <f ca="1"/>
        <v>25</v>
      </c>
      <c r="B52" t="str">
        <f ca="1"/>
        <v>R-6b</v>
      </c>
      <c r="C52" s="3" t="str">
        <f ca="1"/>
        <v>R-6b</v>
      </c>
      <c r="D52">
        <f ca="1"/>
        <v>1</v>
      </c>
      <c r="E52">
        <f ca="1"/>
        <v>356.22253417968699</v>
      </c>
      <c r="F52">
        <f ca="1"/>
        <v>355.70806884765602</v>
      </c>
      <c r="G52">
        <f ca="1"/>
        <v>1</v>
      </c>
      <c r="H52" t="str">
        <f ca="1"/>
        <v>MultiLineString ((689632.59171552222687751 7567167.98757440131157637, 689634.17061779252253473 7567222.69189423695206642))</v>
      </c>
      <c r="I52">
        <f ca="1"/>
        <v>1.5</v>
      </c>
      <c r="J52">
        <f ca="1"/>
        <v>1.5</v>
      </c>
      <c r="K52">
        <f ca="1"/>
        <v>0</v>
      </c>
      <c r="L52">
        <f ca="1"/>
        <v>689634.17061779206</v>
      </c>
      <c r="M52">
        <f ca="1"/>
        <v>7567222.6918942304</v>
      </c>
      <c r="N52">
        <f ca="1"/>
        <v>356.22253417968699</v>
      </c>
      <c r="O52">
        <f ca="1"/>
        <v>54.727100603330804</v>
      </c>
      <c r="P52">
        <f ca="1"/>
        <v>54.727100603330804</v>
      </c>
      <c r="Q52">
        <f ca="1"/>
        <v>-1.5789022700628266</v>
      </c>
      <c r="R52">
        <f ca="1"/>
        <v>-54.704319830052555</v>
      </c>
      <c r="S52">
        <f ca="1"/>
        <v>-0.51446533203096578</v>
      </c>
      <c r="T52" t="str">
        <f ca="1"/>
        <v>C</v>
      </c>
      <c r="U52">
        <f ca="1"/>
        <v>2.4E-2</v>
      </c>
      <c r="V52" s="7">
        <f ca="1"/>
        <v>90</v>
      </c>
      <c r="W52" t="str">
        <f ca="1"/>
        <v>R-6b</v>
      </c>
      <c r="X52" t="str">
        <f ca="1"/>
        <v>C</v>
      </c>
    </row>
    <row r="53" spans="1:24" x14ac:dyDescent="0.25">
      <c r="A53">
        <f ca="1"/>
        <v>25</v>
      </c>
      <c r="B53" t="str">
        <f ca="1"/>
        <v>R-6b</v>
      </c>
      <c r="C53" s="3" t="str">
        <f ca="1"/>
        <v>R-6b</v>
      </c>
      <c r="D53">
        <f ca="1"/>
        <v>0</v>
      </c>
      <c r="E53">
        <f ca="1"/>
        <v>356.22253417968699</v>
      </c>
      <c r="F53">
        <f ca="1"/>
        <v>355.70806884765602</v>
      </c>
      <c r="G53">
        <f ca="1"/>
        <v>1</v>
      </c>
      <c r="H53" t="str">
        <f ca="1"/>
        <v>MultiLineString ((689632.59171552222687751 7567167.98757440131157637, 689634.17061779252253473 7567222.69189423695206642))</v>
      </c>
      <c r="I53">
        <f ca="1"/>
        <v>1.5</v>
      </c>
      <c r="J53">
        <f ca="1"/>
        <v>1.5</v>
      </c>
      <c r="K53">
        <f ca="1"/>
        <v>0</v>
      </c>
      <c r="L53">
        <f ca="1"/>
        <v>689632.59171552199</v>
      </c>
      <c r="M53">
        <f ca="1"/>
        <v>7567167.9875744004</v>
      </c>
      <c r="N53">
        <f ca="1"/>
        <v>355.70806884765602</v>
      </c>
      <c r="O53">
        <f ca="1"/>
        <v>54.727100603330804</v>
      </c>
      <c r="P53">
        <f ca="1"/>
        <v>54.727100603330804</v>
      </c>
      <c r="Q53">
        <f ca="1"/>
        <v>-1.5789022700628266</v>
      </c>
      <c r="R53">
        <f ca="1"/>
        <v>-54.704319830052555</v>
      </c>
      <c r="S53">
        <f ca="1"/>
        <v>-0.51446533203096578</v>
      </c>
      <c r="T53" t="str">
        <f ca="1"/>
        <v>C</v>
      </c>
      <c r="U53">
        <f ca="1"/>
        <v>2.4E-2</v>
      </c>
      <c r="V53" s="7">
        <f ca="1"/>
        <v>90</v>
      </c>
      <c r="W53" t="str">
        <f ca="1"/>
        <v>R-6b</v>
      </c>
      <c r="X53" t="str">
        <f ca="1"/>
        <v>C</v>
      </c>
    </row>
    <row r="54" spans="1:24" x14ac:dyDescent="0.25">
      <c r="A54">
        <f ca="1"/>
        <v>26</v>
      </c>
      <c r="B54" t="str">
        <f ca="1"/>
        <v>R-7</v>
      </c>
      <c r="C54" s="3" t="str">
        <f ca="1"/>
        <v>R-7</v>
      </c>
      <c r="D54">
        <f ca="1"/>
        <v>1</v>
      </c>
      <c r="E54">
        <f ca="1"/>
        <v>352.16900634765602</v>
      </c>
      <c r="F54">
        <f ca="1"/>
        <v>351.81900024414</v>
      </c>
      <c r="G54">
        <f ca="1"/>
        <v>2</v>
      </c>
      <c r="H54" t="str">
        <f ca="1"/>
        <v>MultiLineString ((690763.55012406688183546 7568491.29343010578304529, 690743.11727115733083338 7568514.69833434745669365))</v>
      </c>
      <c r="I54">
        <f ca="1"/>
        <v>1.2</v>
      </c>
      <c r="J54">
        <f ca="1"/>
        <v>1.2</v>
      </c>
      <c r="K54">
        <f ca="1"/>
        <v>0</v>
      </c>
      <c r="L54">
        <f ca="1"/>
        <v>690743.11727115698</v>
      </c>
      <c r="M54">
        <f ca="1"/>
        <v>7568514.69833434</v>
      </c>
      <c r="N54">
        <f ca="1"/>
        <v>352.16900634765602</v>
      </c>
      <c r="O54">
        <f ca="1"/>
        <v>31.069132921185343</v>
      </c>
      <c r="P54">
        <f ca="1"/>
        <v>31.069132921185343</v>
      </c>
      <c r="Q54">
        <f ca="1"/>
        <v>20.432852908968925</v>
      </c>
      <c r="R54">
        <f ca="1"/>
        <v>-23.404904239811003</v>
      </c>
      <c r="S54">
        <f ca="1"/>
        <v>-0.3500061035160229</v>
      </c>
      <c r="T54" t="str">
        <f ca="1"/>
        <v>C</v>
      </c>
      <c r="U54">
        <f ca="1"/>
        <v>2.4E-2</v>
      </c>
      <c r="V54" s="7">
        <f ca="1"/>
        <v>90</v>
      </c>
      <c r="W54" t="str">
        <f ca="1"/>
        <v>R-7</v>
      </c>
      <c r="X54" t="str">
        <f ca="1"/>
        <v>C</v>
      </c>
    </row>
    <row r="55" spans="1:24" x14ac:dyDescent="0.25">
      <c r="A55">
        <f ca="1"/>
        <v>26</v>
      </c>
      <c r="B55" t="str">
        <f ca="1"/>
        <v>R-7</v>
      </c>
      <c r="C55" s="3" t="str">
        <f ca="1"/>
        <v>R-7</v>
      </c>
      <c r="D55">
        <f ca="1"/>
        <v>0</v>
      </c>
      <c r="E55">
        <f ca="1"/>
        <v>352.16900634765602</v>
      </c>
      <c r="F55">
        <f ca="1"/>
        <v>351.81900024414</v>
      </c>
      <c r="G55">
        <f ca="1"/>
        <v>2</v>
      </c>
      <c r="H55" t="str">
        <f ca="1"/>
        <v>MultiLineString ((690763.55012406688183546 7568491.29343010578304529, 690743.11727115733083338 7568514.69833434745669365))</v>
      </c>
      <c r="I55">
        <f ca="1"/>
        <v>1.2</v>
      </c>
      <c r="J55">
        <f ca="1"/>
        <v>1.2</v>
      </c>
      <c r="K55">
        <f ca="1"/>
        <v>0</v>
      </c>
      <c r="L55">
        <f ca="1"/>
        <v>690763.55012406595</v>
      </c>
      <c r="M55">
        <f ca="1"/>
        <v>7568491.2934301002</v>
      </c>
      <c r="N55">
        <f ca="1"/>
        <v>351.81900024414</v>
      </c>
      <c r="O55">
        <f ca="1"/>
        <v>31.069132921185343</v>
      </c>
      <c r="P55">
        <f ca="1"/>
        <v>31.069132921185343</v>
      </c>
      <c r="Q55">
        <f ca="1"/>
        <v>20.432852908968925</v>
      </c>
      <c r="R55">
        <f ca="1"/>
        <v>-23.404904239811003</v>
      </c>
      <c r="S55">
        <f ca="1"/>
        <v>-0.3500061035160229</v>
      </c>
      <c r="T55" t="str">
        <f ca="1"/>
        <v>C</v>
      </c>
      <c r="U55">
        <f ca="1"/>
        <v>2.4E-2</v>
      </c>
      <c r="V55" s="7">
        <f ca="1"/>
        <v>90</v>
      </c>
      <c r="W55" t="str">
        <f ca="1"/>
        <v>R-7</v>
      </c>
      <c r="X55" t="str">
        <f ca="1"/>
        <v>C</v>
      </c>
    </row>
    <row r="56" spans="1:24" x14ac:dyDescent="0.25">
      <c r="A56">
        <f ca="1"/>
        <v>27</v>
      </c>
      <c r="B56" t="str">
        <f ca="1"/>
        <v>R-7b</v>
      </c>
      <c r="C56" s="3" t="str">
        <f ca="1"/>
        <v>R-7b</v>
      </c>
      <c r="D56">
        <f ca="1"/>
        <v>1</v>
      </c>
      <c r="E56">
        <f ca="1"/>
        <v>352.68200683593699</v>
      </c>
      <c r="F56">
        <f ca="1"/>
        <v>352.15353393554602</v>
      </c>
      <c r="G56">
        <f ca="1"/>
        <v>2</v>
      </c>
      <c r="H56" t="str">
        <f ca="1"/>
        <v>MultiLineString ((690559.03584176278673112 7568243.96303329430520535, 690538.88161866564769298 7568271.91889113932847977))</v>
      </c>
      <c r="I56">
        <f ca="1"/>
        <v>1.2</v>
      </c>
      <c r="J56">
        <f ca="1"/>
        <v>1.2</v>
      </c>
      <c r="K56">
        <f ca="1"/>
        <v>0</v>
      </c>
      <c r="L56">
        <f ca="1"/>
        <v>690538.88161866495</v>
      </c>
      <c r="M56">
        <f ca="1"/>
        <v>7568271.91889113</v>
      </c>
      <c r="N56">
        <f ca="1"/>
        <v>352.68200683593699</v>
      </c>
      <c r="O56">
        <f ca="1"/>
        <v>34.463352945343992</v>
      </c>
      <c r="P56">
        <f ca="1"/>
        <v>34.463352945343992</v>
      </c>
      <c r="Q56">
        <f ca="1"/>
        <v>20.154223097022623</v>
      </c>
      <c r="R56">
        <f ca="1"/>
        <v>-27.955857840366662</v>
      </c>
      <c r="S56">
        <f ca="1"/>
        <v>-0.52847290039096606</v>
      </c>
      <c r="T56" t="str">
        <f ca="1"/>
        <v>C</v>
      </c>
      <c r="U56">
        <f ca="1"/>
        <v>2.4E-2</v>
      </c>
      <c r="V56" s="7">
        <f ca="1"/>
        <v>90</v>
      </c>
      <c r="W56" t="str">
        <f ca="1"/>
        <v>R-7b</v>
      </c>
      <c r="X56" t="str">
        <f ca="1"/>
        <v>C</v>
      </c>
    </row>
    <row r="57" spans="1:24" x14ac:dyDescent="0.25">
      <c r="A57">
        <f ca="1"/>
        <v>27</v>
      </c>
      <c r="B57" t="str">
        <f ca="1"/>
        <v>R-7b</v>
      </c>
      <c r="C57" s="3" t="str">
        <f ca="1"/>
        <v>R-7b</v>
      </c>
      <c r="D57">
        <f ca="1"/>
        <v>0</v>
      </c>
      <c r="E57">
        <f ca="1"/>
        <v>352.68200683593699</v>
      </c>
      <c r="F57">
        <f ca="1"/>
        <v>352.15353393554602</v>
      </c>
      <c r="G57">
        <f ca="1"/>
        <v>2</v>
      </c>
      <c r="H57" t="str">
        <f ca="1"/>
        <v>MultiLineString ((690559.03584176278673112 7568243.96303329430520535, 690538.88161866564769298 7568271.91889113932847977))</v>
      </c>
      <c r="I57">
        <f ca="1"/>
        <v>1.2</v>
      </c>
      <c r="J57">
        <f ca="1"/>
        <v>1.2</v>
      </c>
      <c r="K57">
        <f ca="1"/>
        <v>0</v>
      </c>
      <c r="L57">
        <f ca="1"/>
        <v>690559.03584176197</v>
      </c>
      <c r="M57">
        <f ca="1"/>
        <v>7568243.9630332896</v>
      </c>
      <c r="N57">
        <f ca="1"/>
        <v>352.15353393554602</v>
      </c>
      <c r="O57">
        <f ca="1"/>
        <v>34.463352945343992</v>
      </c>
      <c r="P57">
        <f ca="1"/>
        <v>34.463352945343992</v>
      </c>
      <c r="Q57">
        <f ca="1"/>
        <v>20.154223097022623</v>
      </c>
      <c r="R57">
        <f ca="1"/>
        <v>-27.955857840366662</v>
      </c>
      <c r="S57">
        <f ca="1"/>
        <v>-0.52847290039096606</v>
      </c>
      <c r="T57" t="str">
        <f ca="1"/>
        <v>C</v>
      </c>
      <c r="U57">
        <f ca="1"/>
        <v>2.4E-2</v>
      </c>
      <c r="V57" s="7">
        <f ca="1"/>
        <v>90</v>
      </c>
      <c r="W57" t="str">
        <f ca="1"/>
        <v>R-7b</v>
      </c>
      <c r="X57" t="str">
        <f ca="1"/>
        <v>C</v>
      </c>
    </row>
    <row r="58" spans="1:24" x14ac:dyDescent="0.25">
      <c r="A58">
        <f ca="1"/>
        <v>28</v>
      </c>
      <c r="B58" t="str">
        <f ca="1"/>
        <v>R-7c</v>
      </c>
      <c r="C58" s="3" t="str">
        <f ca="1"/>
        <v>R-7c</v>
      </c>
      <c r="D58">
        <f ca="1"/>
        <v>1</v>
      </c>
      <c r="E58">
        <f ca="1"/>
        <v>359.226</v>
      </c>
      <c r="F58">
        <f ca="1"/>
        <v>357.96600000000001</v>
      </c>
      <c r="G58">
        <f ca="1"/>
        <v>1</v>
      </c>
      <c r="H58" t="str">
        <f ca="1"/>
        <v>MultiLineString ((690270.38070888910442591 7567896.65982296504080296, 690261.17007480037864298 7567943.92949225008487701))</v>
      </c>
      <c r="I58">
        <f ca="1"/>
        <v>0.9</v>
      </c>
      <c r="J58">
        <f ca="1"/>
        <v>0.9</v>
      </c>
      <c r="K58">
        <f ca="1"/>
        <v>0</v>
      </c>
      <c r="L58">
        <f ca="1"/>
        <v>690261.17007480003</v>
      </c>
      <c r="M58">
        <f ca="1"/>
        <v>7567943.9294922501</v>
      </c>
      <c r="N58">
        <f ca="1"/>
        <v>359.226</v>
      </c>
      <c r="O58">
        <f ca="1"/>
        <v>48.158669158089893</v>
      </c>
      <c r="P58">
        <f ca="1"/>
        <v>48.158669158089893</v>
      </c>
      <c r="Q58">
        <f ca="1"/>
        <v>9.2106340889586136</v>
      </c>
      <c r="R58">
        <f ca="1"/>
        <v>-47.269669289700687</v>
      </c>
      <c r="S58">
        <f ca="1"/>
        <v>-1.2599999999999909</v>
      </c>
      <c r="T58" t="str">
        <f ca="1"/>
        <v>C</v>
      </c>
      <c r="U58">
        <f ca="1"/>
        <v>2.4E-2</v>
      </c>
      <c r="V58" s="7">
        <f ca="1"/>
        <v>90</v>
      </c>
      <c r="W58" t="str">
        <f ca="1"/>
        <v>R-7c</v>
      </c>
      <c r="X58" t="str">
        <f ca="1"/>
        <v>C</v>
      </c>
    </row>
    <row r="59" spans="1:24" x14ac:dyDescent="0.25">
      <c r="A59">
        <f ca="1"/>
        <v>28</v>
      </c>
      <c r="B59" t="str">
        <f ca="1"/>
        <v>R-7c</v>
      </c>
      <c r="C59" s="3" t="str">
        <f ca="1"/>
        <v>R-7c</v>
      </c>
      <c r="D59">
        <f ca="1"/>
        <v>0</v>
      </c>
      <c r="E59">
        <f ca="1"/>
        <v>359.226</v>
      </c>
      <c r="F59">
        <f ca="1"/>
        <v>357.96600000000001</v>
      </c>
      <c r="G59">
        <f ca="1"/>
        <v>1</v>
      </c>
      <c r="H59" t="str">
        <f ca="1"/>
        <v>MultiLineString ((690270.38070888910442591 7567896.65982296504080296, 690261.17007480037864298 7567943.92949225008487701))</v>
      </c>
      <c r="I59">
        <f ca="1"/>
        <v>0.9</v>
      </c>
      <c r="J59">
        <f ca="1"/>
        <v>0.9</v>
      </c>
      <c r="K59">
        <f ca="1"/>
        <v>0</v>
      </c>
      <c r="L59">
        <f ca="1"/>
        <v>690270.38070888899</v>
      </c>
      <c r="M59">
        <f ca="1"/>
        <v>7567896.6598229604</v>
      </c>
      <c r="N59">
        <f ca="1"/>
        <v>357.96600000000001</v>
      </c>
      <c r="O59">
        <f ca="1"/>
        <v>48.158669158089893</v>
      </c>
      <c r="P59">
        <f ca="1"/>
        <v>48.158669158089893</v>
      </c>
      <c r="Q59">
        <f ca="1"/>
        <v>9.2106340889586136</v>
      </c>
      <c r="R59">
        <f ca="1"/>
        <v>-47.269669289700687</v>
      </c>
      <c r="S59">
        <f ca="1"/>
        <v>-1.2599999999999909</v>
      </c>
      <c r="T59" t="str">
        <f ca="1"/>
        <v>C</v>
      </c>
      <c r="U59">
        <f ca="1"/>
        <v>2.4E-2</v>
      </c>
      <c r="V59" s="7">
        <f ca="1"/>
        <v>90</v>
      </c>
      <c r="W59" t="str">
        <f ca="1"/>
        <v>R-7c</v>
      </c>
      <c r="X59" t="str">
        <f ca="1"/>
        <v>C</v>
      </c>
    </row>
    <row r="60" spans="1:24" x14ac:dyDescent="0.25">
      <c r="A60">
        <f ca="1"/>
        <v>29</v>
      </c>
      <c r="B60" t="str">
        <f ca="1"/>
        <v>R-8</v>
      </c>
      <c r="C60" s="3" t="str">
        <f ca="1"/>
        <v>R-8</v>
      </c>
      <c r="D60">
        <f ca="1"/>
        <v>1</v>
      </c>
      <c r="E60">
        <f ca="1"/>
        <v>352.682037353515</v>
      </c>
      <c r="F60">
        <f ca="1"/>
        <v>352.22879028320301</v>
      </c>
      <c r="G60">
        <f ca="1"/>
        <v>9</v>
      </c>
      <c r="H60" t="str">
        <f ca="1"/>
        <v>MultiLineString ((691279.20103022071998566 7569106.97243891004472971, 691252.82407464657444507 7569121.83269557077437639))</v>
      </c>
      <c r="I60">
        <f ca="1"/>
        <v>1.5</v>
      </c>
      <c r="J60">
        <f ca="1"/>
        <v>1.5</v>
      </c>
      <c r="K60">
        <f ca="1"/>
        <v>0</v>
      </c>
      <c r="L60">
        <f ca="1"/>
        <v>691252.82407464599</v>
      </c>
      <c r="M60">
        <f ca="1"/>
        <v>7569121.8326955698</v>
      </c>
      <c r="N60">
        <f ca="1"/>
        <v>352.682037353515</v>
      </c>
      <c r="O60">
        <f ca="1"/>
        <v>30.274923837218594</v>
      </c>
      <c r="P60">
        <f ca="1"/>
        <v>30.274923837218594</v>
      </c>
      <c r="Q60">
        <f ca="1"/>
        <v>26.376955574029125</v>
      </c>
      <c r="R60">
        <f ca="1"/>
        <v>-14.860256659798324</v>
      </c>
      <c r="S60">
        <f ca="1"/>
        <v>-0.45324707031198841</v>
      </c>
      <c r="T60" t="str">
        <f ca="1"/>
        <v>C</v>
      </c>
      <c r="U60">
        <f ca="1"/>
        <v>2.4E-2</v>
      </c>
      <c r="V60" s="7">
        <f ca="1"/>
        <v>90</v>
      </c>
      <c r="W60" t="str">
        <f ca="1"/>
        <v>R-8</v>
      </c>
      <c r="X60" t="str">
        <f ca="1"/>
        <v>C</v>
      </c>
    </row>
    <row r="61" spans="1:24" x14ac:dyDescent="0.25">
      <c r="A61">
        <f ca="1"/>
        <v>29</v>
      </c>
      <c r="B61" t="str">
        <f ca="1"/>
        <v>R-8</v>
      </c>
      <c r="C61" s="3" t="str">
        <f ca="1"/>
        <v>R-8</v>
      </c>
      <c r="D61">
        <f ca="1"/>
        <v>0</v>
      </c>
      <c r="E61">
        <f ca="1"/>
        <v>352.682037353515</v>
      </c>
      <c r="F61">
        <f ca="1"/>
        <v>352.22879028320301</v>
      </c>
      <c r="G61">
        <f ca="1"/>
        <v>9</v>
      </c>
      <c r="H61" t="str">
        <f ca="1"/>
        <v>MultiLineString ((691279.20103022071998566 7569106.97243891004472971, 691252.82407464657444507 7569121.83269557077437639))</v>
      </c>
      <c r="I61">
        <f ca="1"/>
        <v>1.5</v>
      </c>
      <c r="J61">
        <f ca="1"/>
        <v>1.5</v>
      </c>
      <c r="K61">
        <f ca="1"/>
        <v>0</v>
      </c>
      <c r="L61">
        <f ca="1"/>
        <v>691279.20103022002</v>
      </c>
      <c r="M61">
        <f ca="1"/>
        <v>7569106.97243891</v>
      </c>
      <c r="N61">
        <f ca="1"/>
        <v>352.22879028320301</v>
      </c>
      <c r="O61">
        <f ca="1"/>
        <v>30.274923837218594</v>
      </c>
      <c r="P61">
        <f ca="1"/>
        <v>30.274923837218594</v>
      </c>
      <c r="Q61">
        <f ca="1"/>
        <v>26.376955574029125</v>
      </c>
      <c r="R61">
        <f ca="1"/>
        <v>-14.860256659798324</v>
      </c>
      <c r="S61">
        <f ca="1"/>
        <v>-0.45324707031198841</v>
      </c>
      <c r="T61" t="str">
        <f ca="1"/>
        <v>C</v>
      </c>
      <c r="U61">
        <f ca="1"/>
        <v>2.4E-2</v>
      </c>
      <c r="V61" s="7">
        <f ca="1"/>
        <v>90</v>
      </c>
      <c r="W61" t="str">
        <f ca="1"/>
        <v>R-8</v>
      </c>
      <c r="X61" t="str">
        <f ca="1"/>
        <v>C</v>
      </c>
    </row>
    <row r="62" spans="1:24" x14ac:dyDescent="0.25">
      <c r="A62">
        <f ca="1"/>
        <v>30</v>
      </c>
      <c r="B62" t="str">
        <f ca="1"/>
        <v>R-9</v>
      </c>
      <c r="C62" s="3" t="str">
        <f ca="1"/>
        <v>R-9</v>
      </c>
      <c r="D62">
        <f ca="1"/>
        <v>1</v>
      </c>
      <c r="E62">
        <f ca="1"/>
        <v>354.05548095703102</v>
      </c>
      <c r="F62">
        <f ca="1"/>
        <v>353.73797607421801</v>
      </c>
      <c r="G62">
        <f ca="1"/>
        <v>3</v>
      </c>
      <c r="H62" t="str">
        <f ca="1"/>
        <v>MultiLineString ((691507.72391469345893711 7569388.57430264540016651, 691479.22176939097698778 7569401.46008582692593336))</v>
      </c>
      <c r="I62">
        <f ca="1"/>
        <v>0.9</v>
      </c>
      <c r="J62">
        <f ca="1"/>
        <v>0.9</v>
      </c>
      <c r="K62">
        <f ca="1"/>
        <v>0</v>
      </c>
      <c r="L62">
        <f ca="1"/>
        <v>691479.22176939005</v>
      </c>
      <c r="M62">
        <f ca="1"/>
        <v>7569401.4600858204</v>
      </c>
      <c r="N62">
        <f ca="1"/>
        <v>354.05548095703102</v>
      </c>
      <c r="O62">
        <f ca="1"/>
        <v>31.279637067070155</v>
      </c>
      <c r="P62">
        <f ca="1"/>
        <v>31.279637067070155</v>
      </c>
      <c r="Q62">
        <f ca="1"/>
        <v>28.502145302947611</v>
      </c>
      <c r="R62">
        <f ca="1"/>
        <v>-12.885783180594444</v>
      </c>
      <c r="S62">
        <f ca="1"/>
        <v>-0.31750488281301159</v>
      </c>
      <c r="T62" t="str">
        <f ca="1"/>
        <v>C</v>
      </c>
      <c r="U62">
        <f ca="1"/>
        <v>2.4E-2</v>
      </c>
      <c r="V62" s="7">
        <f ca="1"/>
        <v>90</v>
      </c>
      <c r="W62" t="str">
        <f ca="1"/>
        <v>R-9</v>
      </c>
      <c r="X62" t="str">
        <f ca="1"/>
        <v>C</v>
      </c>
    </row>
    <row r="63" spans="1:24" x14ac:dyDescent="0.25">
      <c r="A63">
        <f ca="1"/>
        <v>30</v>
      </c>
      <c r="B63" t="str">
        <f ca="1"/>
        <v>R-9</v>
      </c>
      <c r="C63" s="3" t="str">
        <f ca="1"/>
        <v>R-9</v>
      </c>
      <c r="D63">
        <f ca="1"/>
        <v>0</v>
      </c>
      <c r="E63">
        <f ca="1"/>
        <v>354.05548095703102</v>
      </c>
      <c r="F63">
        <f ca="1"/>
        <v>353.73797607421801</v>
      </c>
      <c r="G63">
        <f ca="1"/>
        <v>3</v>
      </c>
      <c r="H63" t="str">
        <f ca="1"/>
        <v>MultiLineString ((691507.72391469345893711 7569388.57430264540016651, 691479.22176939097698778 7569401.46008582692593336))</v>
      </c>
      <c r="I63">
        <f ca="1"/>
        <v>0.9</v>
      </c>
      <c r="J63">
        <f ca="1"/>
        <v>0.9</v>
      </c>
      <c r="K63">
        <f ca="1"/>
        <v>0</v>
      </c>
      <c r="L63">
        <f ca="1"/>
        <v>691507.72391469299</v>
      </c>
      <c r="M63">
        <f ca="1"/>
        <v>7569388.5743026398</v>
      </c>
      <c r="N63">
        <f ca="1"/>
        <v>353.73797607421801</v>
      </c>
      <c r="O63">
        <f ca="1"/>
        <v>31.279637067070155</v>
      </c>
      <c r="P63">
        <f ca="1"/>
        <v>31.279637067070155</v>
      </c>
      <c r="Q63">
        <f ca="1"/>
        <v>28.502145302947611</v>
      </c>
      <c r="R63">
        <f ca="1"/>
        <v>-12.885783180594444</v>
      </c>
      <c r="S63">
        <f ca="1"/>
        <v>-0.31750488281301159</v>
      </c>
      <c r="T63" t="str">
        <f ca="1"/>
        <v>C</v>
      </c>
      <c r="U63">
        <f ca="1"/>
        <v>2.4E-2</v>
      </c>
      <c r="V63" s="7">
        <f ca="1"/>
        <v>90</v>
      </c>
      <c r="W63" t="str">
        <f ca="1"/>
        <v>R-9</v>
      </c>
      <c r="X63" t="str">
        <f ca="1"/>
        <v>C</v>
      </c>
    </row>
    <row r="64" spans="1:24" x14ac:dyDescent="0.25">
      <c r="C64" s="3"/>
    </row>
    <row r="65" spans="2:3" x14ac:dyDescent="0.25">
      <c r="C65" s="3"/>
    </row>
    <row r="66" spans="2:3" x14ac:dyDescent="0.25">
      <c r="C66" s="3"/>
    </row>
    <row r="67" spans="2:3" x14ac:dyDescent="0.25">
      <c r="B67" s="3"/>
      <c r="C67" s="3"/>
    </row>
    <row r="68" spans="2:3" x14ac:dyDescent="0.25">
      <c r="B68" s="3"/>
      <c r="C68" s="3"/>
    </row>
    <row r="69" spans="2:3" x14ac:dyDescent="0.25">
      <c r="B69" s="3"/>
      <c r="C69" s="3"/>
    </row>
    <row r="70" spans="2:3" x14ac:dyDescent="0.25">
      <c r="B70" s="3"/>
      <c r="C70" s="3"/>
    </row>
    <row r="71" spans="2:3" x14ac:dyDescent="0.25">
      <c r="B71" s="3"/>
      <c r="C71" s="3"/>
    </row>
    <row r="72" spans="2:3" x14ac:dyDescent="0.25">
      <c r="B72" s="3"/>
      <c r="C72" s="3"/>
    </row>
    <row r="73" spans="2:3" x14ac:dyDescent="0.25">
      <c r="B73" s="3"/>
      <c r="C73" s="3"/>
    </row>
    <row r="74" spans="2:3" x14ac:dyDescent="0.25">
      <c r="B74" s="3"/>
      <c r="C74" s="3"/>
    </row>
    <row r="75" spans="2:3" x14ac:dyDescent="0.25">
      <c r="B75" s="3"/>
      <c r="C75" s="3"/>
    </row>
    <row r="76" spans="2:3" x14ac:dyDescent="0.25">
      <c r="B76" s="3"/>
      <c r="C76" s="3"/>
    </row>
    <row r="77" spans="2:3" x14ac:dyDescent="0.25">
      <c r="B77" s="3"/>
      <c r="C77" s="3"/>
    </row>
    <row r="78" spans="2:3" x14ac:dyDescent="0.25">
      <c r="B78" s="3"/>
      <c r="C78" s="3"/>
    </row>
    <row r="79" spans="2:3" x14ac:dyDescent="0.25">
      <c r="B79" s="3"/>
      <c r="C79" s="3"/>
    </row>
    <row r="80" spans="2:3" x14ac:dyDescent="0.25">
      <c r="B80" s="3"/>
      <c r="C80" s="3"/>
    </row>
    <row r="81" spans="2:3" x14ac:dyDescent="0.25">
      <c r="B81" s="3"/>
      <c r="C81" s="3"/>
    </row>
    <row r="82" spans="2:3" x14ac:dyDescent="0.25">
      <c r="B82" s="3"/>
      <c r="C82" s="3"/>
    </row>
    <row r="83" spans="2:3" x14ac:dyDescent="0.25">
      <c r="B83" s="3"/>
      <c r="C83" s="3"/>
    </row>
    <row r="84" spans="2:3" x14ac:dyDescent="0.25">
      <c r="B84" s="3"/>
      <c r="C84" s="3"/>
    </row>
    <row r="85" spans="2:3" x14ac:dyDescent="0.25">
      <c r="B85" s="3"/>
      <c r="C85" s="3"/>
    </row>
    <row r="86" spans="2:3" x14ac:dyDescent="0.25">
      <c r="B86" s="3"/>
      <c r="C86" s="3"/>
    </row>
    <row r="87" spans="2:3" x14ac:dyDescent="0.25">
      <c r="B87" s="3"/>
      <c r="C87" s="3"/>
    </row>
    <row r="88" spans="2:3" x14ac:dyDescent="0.25">
      <c r="B88" s="3"/>
      <c r="C88" s="3"/>
    </row>
    <row r="89" spans="2:3" x14ac:dyDescent="0.25">
      <c r="B89" s="3"/>
      <c r="C89" s="3"/>
    </row>
    <row r="90" spans="2:3" x14ac:dyDescent="0.25">
      <c r="B90" s="3"/>
      <c r="C90" s="3"/>
    </row>
    <row r="91" spans="2:3" x14ac:dyDescent="0.25">
      <c r="B91" s="3"/>
      <c r="C91" s="3"/>
    </row>
    <row r="92" spans="2:3" x14ac:dyDescent="0.25">
      <c r="B92" s="3"/>
      <c r="C92" s="3"/>
    </row>
    <row r="93" spans="2:3" x14ac:dyDescent="0.25">
      <c r="B93" s="3"/>
      <c r="C93" s="3"/>
    </row>
    <row r="94" spans="2:3" x14ac:dyDescent="0.25">
      <c r="B94" s="3"/>
      <c r="C94" s="3"/>
    </row>
    <row r="95" spans="2:3" x14ac:dyDescent="0.25">
      <c r="B95" s="3"/>
      <c r="C95" s="3"/>
    </row>
    <row r="96" spans="2:3" x14ac:dyDescent="0.25">
      <c r="B96" s="3"/>
      <c r="C96" s="3"/>
    </row>
    <row r="97" spans="2:3" x14ac:dyDescent="0.25">
      <c r="B97" s="3"/>
      <c r="C97" s="3"/>
    </row>
    <row r="98" spans="2:3" x14ac:dyDescent="0.25">
      <c r="B98" s="3"/>
      <c r="C98" s="3"/>
    </row>
    <row r="99" spans="2:3" x14ac:dyDescent="0.25">
      <c r="B99" s="3"/>
      <c r="C99" s="3"/>
    </row>
    <row r="100" spans="2:3" x14ac:dyDescent="0.25">
      <c r="B100" s="3"/>
      <c r="C100" s="3"/>
    </row>
    <row r="101" spans="2:3" x14ac:dyDescent="0.25">
      <c r="B101" s="3"/>
      <c r="C101" s="3"/>
    </row>
    <row r="102" spans="2:3" x14ac:dyDescent="0.25">
      <c r="B102" s="3"/>
      <c r="C102" s="3"/>
    </row>
    <row r="103" spans="2:3" x14ac:dyDescent="0.25">
      <c r="B103" s="3"/>
      <c r="C103" s="3"/>
    </row>
    <row r="104" spans="2:3" x14ac:dyDescent="0.25">
      <c r="B104" s="3"/>
      <c r="C104" s="3"/>
    </row>
    <row r="105" spans="2:3" x14ac:dyDescent="0.25">
      <c r="B105" s="3"/>
      <c r="C105" s="3"/>
    </row>
    <row r="106" spans="2:3" x14ac:dyDescent="0.25">
      <c r="B106" s="3"/>
      <c r="C106" s="3"/>
    </row>
    <row r="107" spans="2:3" x14ac:dyDescent="0.25">
      <c r="B107" s="3"/>
      <c r="C107" s="3"/>
    </row>
    <row r="108" spans="2:3" x14ac:dyDescent="0.25">
      <c r="B108" s="3"/>
      <c r="C108" s="3"/>
    </row>
    <row r="109" spans="2:3" x14ac:dyDescent="0.25">
      <c r="B109" s="3"/>
      <c r="C109" s="3"/>
    </row>
    <row r="110" spans="2:3" x14ac:dyDescent="0.25">
      <c r="B110" s="3"/>
      <c r="C110" s="3"/>
    </row>
    <row r="111" spans="2:3" x14ac:dyDescent="0.25">
      <c r="B111" s="3"/>
      <c r="C111" s="3"/>
    </row>
    <row r="112" spans="2:3" x14ac:dyDescent="0.25">
      <c r="B112" s="3"/>
      <c r="C112" s="3"/>
    </row>
    <row r="113" spans="2:3" x14ac:dyDescent="0.25">
      <c r="B113" s="3"/>
      <c r="C113" s="3"/>
    </row>
    <row r="114" spans="2:3" x14ac:dyDescent="0.25">
      <c r="B114" s="3"/>
      <c r="C114" s="3"/>
    </row>
    <row r="115" spans="2:3" x14ac:dyDescent="0.25">
      <c r="B115" s="3"/>
      <c r="C115" s="3"/>
    </row>
    <row r="116" spans="2:3" x14ac:dyDescent="0.25">
      <c r="B116" s="3"/>
      <c r="C116" s="3"/>
    </row>
    <row r="117" spans="2:3" x14ac:dyDescent="0.25">
      <c r="B117" s="3"/>
      <c r="C117" s="3"/>
    </row>
    <row r="118" spans="2:3" x14ac:dyDescent="0.25">
      <c r="B118" s="3"/>
      <c r="C118" s="3"/>
    </row>
    <row r="119" spans="2:3" x14ac:dyDescent="0.25">
      <c r="B119" s="3"/>
      <c r="C119" s="3"/>
    </row>
    <row r="120" spans="2:3" x14ac:dyDescent="0.25">
      <c r="B120" s="3"/>
      <c r="C120" s="3"/>
    </row>
    <row r="121" spans="2:3" x14ac:dyDescent="0.25">
      <c r="B121" s="3"/>
      <c r="C121" s="3"/>
    </row>
    <row r="122" spans="2:3" x14ac:dyDescent="0.25">
      <c r="B122" s="3"/>
      <c r="C122" s="3"/>
    </row>
    <row r="123" spans="2:3" x14ac:dyDescent="0.25">
      <c r="B123" s="3"/>
      <c r="C123" s="3"/>
    </row>
    <row r="124" spans="2:3" x14ac:dyDescent="0.25">
      <c r="B124" s="3"/>
      <c r="C124" s="3"/>
    </row>
    <row r="125" spans="2:3" x14ac:dyDescent="0.25">
      <c r="B125" s="3"/>
      <c r="C125" s="3"/>
    </row>
    <row r="126" spans="2:3" x14ac:dyDescent="0.25">
      <c r="B126" s="3"/>
      <c r="C126" s="3"/>
    </row>
    <row r="127" spans="2:3" x14ac:dyDescent="0.25">
      <c r="B127" s="3"/>
      <c r="C127" s="3"/>
    </row>
    <row r="128" spans="2:3" x14ac:dyDescent="0.25">
      <c r="B128" s="3"/>
      <c r="C128" s="3"/>
    </row>
    <row r="129" spans="2:3" x14ac:dyDescent="0.25">
      <c r="B129" s="3"/>
      <c r="C129" s="3"/>
    </row>
    <row r="130" spans="2:3" x14ac:dyDescent="0.25">
      <c r="B130" s="3"/>
      <c r="C130" s="3"/>
    </row>
    <row r="131" spans="2:3" x14ac:dyDescent="0.25">
      <c r="B131" s="3"/>
      <c r="C131" s="3"/>
    </row>
    <row r="132" spans="2:3" x14ac:dyDescent="0.25">
      <c r="B132" s="3"/>
      <c r="C132" s="3"/>
    </row>
    <row r="133" spans="2:3" x14ac:dyDescent="0.25">
      <c r="B133" s="3"/>
      <c r="C133" s="3"/>
    </row>
    <row r="134" spans="2:3" x14ac:dyDescent="0.25">
      <c r="B134" s="3"/>
      <c r="C134" s="3"/>
    </row>
    <row r="135" spans="2:3" x14ac:dyDescent="0.25">
      <c r="B135" s="3"/>
      <c r="C135" s="3"/>
    </row>
    <row r="136" spans="2:3" x14ac:dyDescent="0.25">
      <c r="B136" s="3"/>
      <c r="C136" s="3"/>
    </row>
    <row r="137" spans="2:3" x14ac:dyDescent="0.25">
      <c r="B137" s="3"/>
      <c r="C137" s="3"/>
    </row>
    <row r="138" spans="2:3" x14ac:dyDescent="0.25">
      <c r="B138" s="3"/>
      <c r="C138" s="3"/>
    </row>
    <row r="139" spans="2:3" x14ac:dyDescent="0.25">
      <c r="B139" s="3"/>
      <c r="C139" s="3"/>
    </row>
    <row r="140" spans="2:3" x14ac:dyDescent="0.25">
      <c r="B140" s="3"/>
      <c r="C140" s="3"/>
    </row>
    <row r="141" spans="2:3" x14ac:dyDescent="0.25">
      <c r="B141" s="3"/>
      <c r="C141" s="3"/>
    </row>
    <row r="142" spans="2:3" x14ac:dyDescent="0.25">
      <c r="B142" s="3"/>
      <c r="C142" s="3"/>
    </row>
    <row r="143" spans="2:3" x14ac:dyDescent="0.25">
      <c r="B143" s="3"/>
      <c r="C143" s="3"/>
    </row>
    <row r="144" spans="2:3" x14ac:dyDescent="0.25">
      <c r="B144" s="3"/>
      <c r="C144" s="3"/>
    </row>
    <row r="145" spans="2:3" x14ac:dyDescent="0.25">
      <c r="B145" s="3"/>
      <c r="C145" s="3"/>
    </row>
    <row r="146" spans="2:3" x14ac:dyDescent="0.25">
      <c r="B146" s="3"/>
      <c r="C146" s="3"/>
    </row>
    <row r="147" spans="2:3" x14ac:dyDescent="0.25">
      <c r="B147" s="3"/>
      <c r="C147" s="3"/>
    </row>
    <row r="148" spans="2:3" x14ac:dyDescent="0.25">
      <c r="B148" s="3"/>
      <c r="C148" s="3"/>
    </row>
    <row r="149" spans="2:3" x14ac:dyDescent="0.25">
      <c r="B149" s="3"/>
      <c r="C149" s="3"/>
    </row>
    <row r="150" spans="2:3" x14ac:dyDescent="0.25">
      <c r="B150" s="3"/>
      <c r="C150" s="3"/>
    </row>
    <row r="151" spans="2:3" x14ac:dyDescent="0.25">
      <c r="B151" s="3"/>
      <c r="C151" s="3"/>
    </row>
    <row r="152" spans="2:3" x14ac:dyDescent="0.25">
      <c r="B152" s="3"/>
      <c r="C152" s="3"/>
    </row>
    <row r="153" spans="2:3" x14ac:dyDescent="0.25">
      <c r="B153" s="3"/>
      <c r="C153" s="3"/>
    </row>
    <row r="154" spans="2:3" x14ac:dyDescent="0.25">
      <c r="B154" s="3"/>
      <c r="C154" s="3"/>
    </row>
    <row r="155" spans="2:3" x14ac:dyDescent="0.25">
      <c r="B155" s="3"/>
      <c r="C155" s="3"/>
    </row>
    <row r="156" spans="2:3" x14ac:dyDescent="0.25">
      <c r="B156" s="3"/>
      <c r="C156" s="3"/>
    </row>
    <row r="157" spans="2:3" x14ac:dyDescent="0.25">
      <c r="B157" s="3"/>
      <c r="C157" s="3"/>
    </row>
    <row r="158" spans="2:3" x14ac:dyDescent="0.25">
      <c r="B158" s="3"/>
      <c r="C158" s="3"/>
    </row>
    <row r="159" spans="2:3" x14ac:dyDescent="0.25">
      <c r="B159" s="3"/>
      <c r="C159" s="3"/>
    </row>
    <row r="160" spans="2:3" x14ac:dyDescent="0.25">
      <c r="B160" s="3"/>
      <c r="C160" s="3"/>
    </row>
    <row r="161" spans="2:3" x14ac:dyDescent="0.25">
      <c r="B161" s="3"/>
      <c r="C161" s="3"/>
    </row>
    <row r="162" spans="2:3" x14ac:dyDescent="0.25">
      <c r="B162" s="3"/>
      <c r="C162" s="3"/>
    </row>
    <row r="163" spans="2:3" x14ac:dyDescent="0.25">
      <c r="B163" s="3"/>
      <c r="C163" s="3"/>
    </row>
    <row r="164" spans="2:3" x14ac:dyDescent="0.25">
      <c r="B164" s="3"/>
      <c r="C164" s="3"/>
    </row>
    <row r="165" spans="2:3" x14ac:dyDescent="0.25">
      <c r="B165" s="3"/>
      <c r="C165" s="3"/>
    </row>
    <row r="166" spans="2:3" x14ac:dyDescent="0.25">
      <c r="B166" s="3"/>
      <c r="C166" s="3"/>
    </row>
    <row r="167" spans="2:3" x14ac:dyDescent="0.25">
      <c r="B167" s="3"/>
      <c r="C167" s="3"/>
    </row>
    <row r="168" spans="2:3" x14ac:dyDescent="0.25">
      <c r="B168" s="3"/>
      <c r="C168" s="3"/>
    </row>
    <row r="169" spans="2:3" x14ac:dyDescent="0.25">
      <c r="B169" s="3"/>
      <c r="C169" s="3"/>
    </row>
    <row r="170" spans="2:3" x14ac:dyDescent="0.25">
      <c r="B170" s="3"/>
      <c r="C170" s="3"/>
    </row>
    <row r="171" spans="2:3" x14ac:dyDescent="0.25">
      <c r="B171" s="3"/>
      <c r="C171" s="3"/>
    </row>
    <row r="172" spans="2:3" x14ac:dyDescent="0.25">
      <c r="B172" s="3"/>
      <c r="C172" s="3"/>
    </row>
    <row r="173" spans="2:3" x14ac:dyDescent="0.25">
      <c r="B173" s="3"/>
      <c r="C173" s="3"/>
    </row>
    <row r="174" spans="2:3" x14ac:dyDescent="0.25">
      <c r="B174" s="3"/>
      <c r="C174" s="3"/>
    </row>
    <row r="175" spans="2:3" x14ac:dyDescent="0.25">
      <c r="B175" s="3"/>
      <c r="C175" s="3"/>
    </row>
    <row r="176" spans="2:3" x14ac:dyDescent="0.25">
      <c r="B176" s="3"/>
      <c r="C176" s="3"/>
    </row>
    <row r="177" spans="2:3" x14ac:dyDescent="0.25">
      <c r="B177" s="3"/>
      <c r="C177" s="3"/>
    </row>
    <row r="178" spans="2:3" x14ac:dyDescent="0.25">
      <c r="B178" s="3"/>
      <c r="C178" s="3"/>
    </row>
    <row r="179" spans="2:3" x14ac:dyDescent="0.25">
      <c r="B179" s="3"/>
      <c r="C179" s="3"/>
    </row>
    <row r="180" spans="2:3" x14ac:dyDescent="0.25">
      <c r="B180" s="3"/>
      <c r="C180" s="3"/>
    </row>
    <row r="181" spans="2:3" x14ac:dyDescent="0.25">
      <c r="B181" s="3"/>
      <c r="C181" s="3"/>
    </row>
    <row r="182" spans="2:3" x14ac:dyDescent="0.25">
      <c r="B182" s="3"/>
      <c r="C182" s="3"/>
    </row>
    <row r="183" spans="2:3" x14ac:dyDescent="0.25">
      <c r="B183" s="3"/>
      <c r="C183" s="3"/>
    </row>
    <row r="184" spans="2:3" x14ac:dyDescent="0.25">
      <c r="B184" s="3"/>
      <c r="C184" s="3"/>
    </row>
    <row r="185" spans="2:3" x14ac:dyDescent="0.25">
      <c r="B185" s="3"/>
      <c r="C185" s="3"/>
    </row>
    <row r="186" spans="2:3" x14ac:dyDescent="0.25">
      <c r="B186" s="3"/>
      <c r="C186" s="3"/>
    </row>
    <row r="187" spans="2:3" x14ac:dyDescent="0.25">
      <c r="B187" s="3"/>
      <c r="C187" s="3"/>
    </row>
    <row r="188" spans="2:3" x14ac:dyDescent="0.25">
      <c r="B188" s="3"/>
      <c r="C188" s="3"/>
    </row>
    <row r="189" spans="2:3" x14ac:dyDescent="0.25">
      <c r="B189" s="3"/>
      <c r="C189" s="3"/>
    </row>
    <row r="190" spans="2:3" x14ac:dyDescent="0.25">
      <c r="B190" s="3"/>
      <c r="C190" s="3"/>
    </row>
    <row r="191" spans="2:3" x14ac:dyDescent="0.25">
      <c r="B191" s="3"/>
      <c r="C191" s="3"/>
    </row>
    <row r="192" spans="2:3" x14ac:dyDescent="0.25">
      <c r="B192" s="3"/>
      <c r="C192" s="3"/>
    </row>
    <row r="193" spans="2:3" x14ac:dyDescent="0.25">
      <c r="B193" s="3"/>
      <c r="C193" s="3"/>
    </row>
    <row r="194" spans="2:3" x14ac:dyDescent="0.25">
      <c r="B194" s="3"/>
      <c r="C194" s="3"/>
    </row>
    <row r="195" spans="2:3" x14ac:dyDescent="0.25">
      <c r="B195" s="3"/>
      <c r="C195" s="3"/>
    </row>
    <row r="196" spans="2:3" x14ac:dyDescent="0.25">
      <c r="B196" s="3"/>
      <c r="C196" s="3"/>
    </row>
    <row r="197" spans="2:3" x14ac:dyDescent="0.25">
      <c r="B197" s="3"/>
      <c r="C197" s="3"/>
    </row>
    <row r="198" spans="2:3" x14ac:dyDescent="0.25">
      <c r="B198" s="3"/>
      <c r="C198" s="3"/>
    </row>
    <row r="199" spans="2:3" x14ac:dyDescent="0.25">
      <c r="B199" s="3"/>
      <c r="C199" s="3"/>
    </row>
    <row r="200" spans="2:3" x14ac:dyDescent="0.25">
      <c r="B200" s="3"/>
      <c r="C200" s="3"/>
    </row>
    <row r="201" spans="2:3" x14ac:dyDescent="0.25">
      <c r="B201" s="3"/>
      <c r="C201" s="3"/>
    </row>
    <row r="202" spans="2:3" x14ac:dyDescent="0.25">
      <c r="B202" s="3"/>
      <c r="C202" s="3"/>
    </row>
    <row r="203" spans="2:3" x14ac:dyDescent="0.25">
      <c r="B203" s="3"/>
      <c r="C203" s="3"/>
    </row>
    <row r="204" spans="2:3" x14ac:dyDescent="0.25">
      <c r="B204" s="3"/>
      <c r="C204" s="3"/>
    </row>
    <row r="205" spans="2:3" x14ac:dyDescent="0.25">
      <c r="B205" s="3"/>
      <c r="C205" s="3"/>
    </row>
    <row r="206" spans="2:3" x14ac:dyDescent="0.25">
      <c r="B206" s="3"/>
      <c r="C206" s="3"/>
    </row>
    <row r="207" spans="2:3" x14ac:dyDescent="0.25">
      <c r="B207" s="3"/>
      <c r="C207" s="3"/>
    </row>
    <row r="208" spans="2:3" x14ac:dyDescent="0.25">
      <c r="B208" s="3"/>
      <c r="C208" s="3"/>
    </row>
    <row r="209" spans="2:3" x14ac:dyDescent="0.25">
      <c r="B209" s="3"/>
      <c r="C209" s="3"/>
    </row>
    <row r="210" spans="2:3" x14ac:dyDescent="0.25">
      <c r="B210" s="3"/>
      <c r="C210" s="3"/>
    </row>
    <row r="211" spans="2:3" x14ac:dyDescent="0.25">
      <c r="B211" s="3"/>
      <c r="C211" s="3"/>
    </row>
    <row r="212" spans="2:3" x14ac:dyDescent="0.25">
      <c r="B212" s="3"/>
      <c r="C212" s="3"/>
    </row>
    <row r="213" spans="2:3" x14ac:dyDescent="0.25">
      <c r="B213" s="3"/>
      <c r="C213" s="3"/>
    </row>
    <row r="214" spans="2:3" x14ac:dyDescent="0.25">
      <c r="B214" s="3"/>
      <c r="C214" s="3"/>
    </row>
    <row r="215" spans="2:3" x14ac:dyDescent="0.25">
      <c r="B215" s="3"/>
      <c r="C215" s="3"/>
    </row>
    <row r="216" spans="2:3" x14ac:dyDescent="0.25">
      <c r="B216" s="3"/>
      <c r="C216" s="3"/>
    </row>
    <row r="217" spans="2:3" x14ac:dyDescent="0.25">
      <c r="B217" s="3"/>
      <c r="C217" s="3"/>
    </row>
    <row r="218" spans="2:3" x14ac:dyDescent="0.25">
      <c r="B218" s="3"/>
      <c r="C218" s="3"/>
    </row>
    <row r="219" spans="2:3" x14ac:dyDescent="0.25">
      <c r="B219" s="3"/>
      <c r="C219" s="3"/>
    </row>
    <row r="220" spans="2:3" x14ac:dyDescent="0.25">
      <c r="B220" s="3"/>
      <c r="C220" s="3"/>
    </row>
    <row r="221" spans="2:3" x14ac:dyDescent="0.25">
      <c r="B221" s="3"/>
      <c r="C221" s="3"/>
    </row>
    <row r="222" spans="2:3" x14ac:dyDescent="0.25">
      <c r="B222" s="3"/>
      <c r="C222" s="3"/>
    </row>
    <row r="223" spans="2:3" x14ac:dyDescent="0.25">
      <c r="B223" s="3"/>
      <c r="C223" s="3"/>
    </row>
    <row r="224" spans="2:3" x14ac:dyDescent="0.25">
      <c r="B224" s="3"/>
      <c r="C224" s="3"/>
    </row>
    <row r="225" spans="2:3" x14ac:dyDescent="0.25">
      <c r="B225" s="3"/>
      <c r="C225" s="3"/>
    </row>
    <row r="226" spans="2:3" x14ac:dyDescent="0.25">
      <c r="B226" s="3"/>
      <c r="C226" s="3"/>
    </row>
    <row r="227" spans="2:3" x14ac:dyDescent="0.25">
      <c r="B227" s="3"/>
      <c r="C227" s="3"/>
    </row>
    <row r="228" spans="2:3" x14ac:dyDescent="0.25">
      <c r="B228" s="3"/>
      <c r="C228" s="3"/>
    </row>
    <row r="229" spans="2:3" x14ac:dyDescent="0.25">
      <c r="B229" s="3"/>
      <c r="C229" s="3"/>
    </row>
    <row r="230" spans="2:3" x14ac:dyDescent="0.25">
      <c r="B230" s="3"/>
      <c r="C230" s="3"/>
    </row>
    <row r="231" spans="2:3" x14ac:dyDescent="0.25">
      <c r="B231" s="3"/>
      <c r="C231" s="3"/>
    </row>
    <row r="232" spans="2:3" x14ac:dyDescent="0.25">
      <c r="B232" s="3"/>
      <c r="C232" s="3"/>
    </row>
    <row r="233" spans="2:3" x14ac:dyDescent="0.25">
      <c r="B233" s="3"/>
      <c r="C233" s="3"/>
    </row>
    <row r="234" spans="2:3" x14ac:dyDescent="0.25">
      <c r="B234" s="3"/>
      <c r="C234" s="3"/>
    </row>
    <row r="235" spans="2:3" x14ac:dyDescent="0.25">
      <c r="B235" s="3"/>
      <c r="C235" s="3"/>
    </row>
    <row r="236" spans="2:3" x14ac:dyDescent="0.25">
      <c r="B236" s="3"/>
      <c r="C236" s="3"/>
    </row>
    <row r="237" spans="2:3" x14ac:dyDescent="0.25">
      <c r="B237" s="3"/>
      <c r="C237" s="3"/>
    </row>
    <row r="238" spans="2:3" x14ac:dyDescent="0.25">
      <c r="B238" s="3"/>
      <c r="C238" s="3"/>
    </row>
    <row r="239" spans="2:3" x14ac:dyDescent="0.25">
      <c r="B239" s="3"/>
      <c r="C239" s="3"/>
    </row>
    <row r="240" spans="2:3" x14ac:dyDescent="0.25">
      <c r="B240" s="3"/>
      <c r="C240" s="3"/>
    </row>
    <row r="241" spans="2:3" x14ac:dyDescent="0.25">
      <c r="B241" s="3"/>
      <c r="C241" s="3"/>
    </row>
    <row r="242" spans="2:3" x14ac:dyDescent="0.25">
      <c r="B242" s="3"/>
      <c r="C242" s="3"/>
    </row>
    <row r="243" spans="2:3" x14ac:dyDescent="0.25">
      <c r="B243" s="3"/>
      <c r="C243" s="3"/>
    </row>
    <row r="244" spans="2:3" x14ac:dyDescent="0.25">
      <c r="B244" s="3"/>
      <c r="C244" s="3"/>
    </row>
    <row r="245" spans="2:3" x14ac:dyDescent="0.25">
      <c r="B245" s="3"/>
      <c r="C245" s="3"/>
    </row>
    <row r="246" spans="2:3" x14ac:dyDescent="0.25">
      <c r="B246" s="3"/>
      <c r="C246" s="3"/>
    </row>
    <row r="247" spans="2:3" x14ac:dyDescent="0.25">
      <c r="B247" s="3"/>
      <c r="C247" s="3"/>
    </row>
    <row r="248" spans="2:3" x14ac:dyDescent="0.25">
      <c r="B248" s="3"/>
      <c r="C248" s="3"/>
    </row>
    <row r="249" spans="2:3" x14ac:dyDescent="0.25">
      <c r="B249" s="3"/>
      <c r="C249" s="3"/>
    </row>
    <row r="250" spans="2:3" x14ac:dyDescent="0.25">
      <c r="B250" s="3"/>
      <c r="C250" s="3"/>
    </row>
    <row r="251" spans="2:3" x14ac:dyDescent="0.25">
      <c r="B251" s="3"/>
      <c r="C251" s="3"/>
    </row>
    <row r="252" spans="2:3" x14ac:dyDescent="0.25">
      <c r="B252" s="3"/>
      <c r="C252" s="3"/>
    </row>
    <row r="253" spans="2:3" x14ac:dyDescent="0.25">
      <c r="B253" s="3"/>
      <c r="C253" s="3"/>
    </row>
    <row r="254" spans="2:3" x14ac:dyDescent="0.25">
      <c r="B254" s="3"/>
      <c r="C254" s="3"/>
    </row>
    <row r="255" spans="2:3" x14ac:dyDescent="0.25">
      <c r="B255" s="3"/>
      <c r="C255" s="3"/>
    </row>
    <row r="256" spans="2:3" x14ac:dyDescent="0.25">
      <c r="B256" s="3"/>
      <c r="C256" s="3"/>
    </row>
    <row r="257" spans="2:3" x14ac:dyDescent="0.25">
      <c r="B257" s="3"/>
      <c r="C257" s="3"/>
    </row>
    <row r="258" spans="2:3" x14ac:dyDescent="0.25">
      <c r="B258" s="3"/>
      <c r="C258" s="3"/>
    </row>
    <row r="259" spans="2:3" x14ac:dyDescent="0.25">
      <c r="B259" s="3"/>
      <c r="C259" s="3"/>
    </row>
    <row r="260" spans="2:3" x14ac:dyDescent="0.25">
      <c r="B260" s="3"/>
      <c r="C260" s="3"/>
    </row>
    <row r="261" spans="2:3" x14ac:dyDescent="0.25">
      <c r="B261" s="3"/>
      <c r="C261" s="3"/>
    </row>
    <row r="262" spans="2:3" x14ac:dyDescent="0.25">
      <c r="B262" s="3"/>
      <c r="C262" s="3"/>
    </row>
    <row r="263" spans="2:3" x14ac:dyDescent="0.25">
      <c r="B263" s="3"/>
      <c r="C263" s="3"/>
    </row>
    <row r="264" spans="2:3" x14ac:dyDescent="0.25">
      <c r="B264" s="3"/>
      <c r="C264" s="3"/>
    </row>
    <row r="265" spans="2:3" x14ac:dyDescent="0.25">
      <c r="B265" s="3"/>
      <c r="C265" s="3"/>
    </row>
    <row r="266" spans="2:3" x14ac:dyDescent="0.25">
      <c r="B266" s="3"/>
      <c r="C266" s="3"/>
    </row>
    <row r="267" spans="2:3" x14ac:dyDescent="0.25">
      <c r="B267" s="3"/>
      <c r="C267" s="3"/>
    </row>
    <row r="268" spans="2:3" x14ac:dyDescent="0.25">
      <c r="B268" s="3"/>
      <c r="C268" s="3"/>
    </row>
    <row r="269" spans="2:3" x14ac:dyDescent="0.25">
      <c r="B269" s="3"/>
      <c r="C269" s="3"/>
    </row>
    <row r="270" spans="2:3" x14ac:dyDescent="0.25">
      <c r="B270" s="3"/>
      <c r="C270" s="3"/>
    </row>
    <row r="271" spans="2:3" x14ac:dyDescent="0.25">
      <c r="B271" s="3"/>
      <c r="C271" s="3"/>
    </row>
    <row r="272" spans="2:3" x14ac:dyDescent="0.25">
      <c r="B272" s="3"/>
      <c r="C272" s="3"/>
    </row>
    <row r="273" spans="2:3" x14ac:dyDescent="0.25">
      <c r="B273" s="3"/>
      <c r="C273" s="3"/>
    </row>
    <row r="274" spans="2:3" x14ac:dyDescent="0.25">
      <c r="B274" s="3"/>
      <c r="C274" s="3"/>
    </row>
    <row r="275" spans="2:3" x14ac:dyDescent="0.25">
      <c r="B275" s="3"/>
      <c r="C275" s="3"/>
    </row>
    <row r="276" spans="2:3" x14ac:dyDescent="0.25">
      <c r="B276" s="3"/>
      <c r="C276" s="3"/>
    </row>
    <row r="277" spans="2:3" x14ac:dyDescent="0.25">
      <c r="B277" s="3"/>
      <c r="C277" s="3"/>
    </row>
    <row r="278" spans="2:3" x14ac:dyDescent="0.25">
      <c r="B278" s="3"/>
      <c r="C278" s="3"/>
    </row>
    <row r="279" spans="2:3" x14ac:dyDescent="0.25">
      <c r="B279" s="3"/>
      <c r="C279" s="3"/>
    </row>
    <row r="280" spans="2:3" x14ac:dyDescent="0.25">
      <c r="B280" s="3"/>
      <c r="C280" s="3"/>
    </row>
    <row r="281" spans="2:3" x14ac:dyDescent="0.25">
      <c r="B281" s="3"/>
      <c r="C281" s="3"/>
    </row>
    <row r="282" spans="2:3" x14ac:dyDescent="0.25">
      <c r="B282" s="3"/>
      <c r="C282" s="3"/>
    </row>
    <row r="283" spans="2:3" x14ac:dyDescent="0.25">
      <c r="B283" s="3"/>
      <c r="C283" s="3"/>
    </row>
    <row r="284" spans="2:3" x14ac:dyDescent="0.25">
      <c r="B284" s="3"/>
      <c r="C284" s="3"/>
    </row>
    <row r="285" spans="2:3" x14ac:dyDescent="0.25">
      <c r="B285" s="3"/>
      <c r="C285" s="3"/>
    </row>
    <row r="286" spans="2:3" x14ac:dyDescent="0.25">
      <c r="B286" s="3"/>
      <c r="C286" s="3"/>
    </row>
    <row r="287" spans="2:3" x14ac:dyDescent="0.25">
      <c r="B287" s="3"/>
      <c r="C287" s="3"/>
    </row>
    <row r="288" spans="2:3" x14ac:dyDescent="0.25">
      <c r="B288" s="3"/>
      <c r="C288" s="3"/>
    </row>
    <row r="289" spans="2:3" x14ac:dyDescent="0.25">
      <c r="B289" s="3"/>
      <c r="C289" s="3"/>
    </row>
    <row r="290" spans="2:3" x14ac:dyDescent="0.25">
      <c r="B290" s="3"/>
      <c r="C290" s="3"/>
    </row>
    <row r="291" spans="2:3" x14ac:dyDescent="0.25">
      <c r="B291" s="3"/>
      <c r="C291" s="3"/>
    </row>
    <row r="292" spans="2:3" x14ac:dyDescent="0.25">
      <c r="B292" s="3"/>
      <c r="C292" s="3"/>
    </row>
    <row r="293" spans="2:3" x14ac:dyDescent="0.25">
      <c r="B293" s="3"/>
      <c r="C293" s="3"/>
    </row>
    <row r="294" spans="2:3" x14ac:dyDescent="0.25">
      <c r="B294" s="3"/>
      <c r="C294" s="3"/>
    </row>
    <row r="295" spans="2:3" x14ac:dyDescent="0.25">
      <c r="B295" s="3"/>
      <c r="C295" s="3"/>
    </row>
    <row r="296" spans="2:3" x14ac:dyDescent="0.25">
      <c r="B296" s="3"/>
      <c r="C296" s="3"/>
    </row>
    <row r="297" spans="2:3" x14ac:dyDescent="0.25">
      <c r="B297" s="3"/>
      <c r="C297" s="3"/>
    </row>
    <row r="298" spans="2:3" x14ac:dyDescent="0.25">
      <c r="B298" s="3"/>
      <c r="C298" s="3"/>
    </row>
    <row r="299" spans="2:3" x14ac:dyDescent="0.25">
      <c r="B299" s="3"/>
      <c r="C299" s="3"/>
    </row>
    <row r="300" spans="2:3" x14ac:dyDescent="0.25">
      <c r="B300" s="3"/>
      <c r="C300" s="3"/>
    </row>
    <row r="301" spans="2:3" x14ac:dyDescent="0.25">
      <c r="B301" s="3"/>
      <c r="C301" s="3"/>
    </row>
    <row r="302" spans="2:3" x14ac:dyDescent="0.25">
      <c r="B302" s="3"/>
      <c r="C302" s="3"/>
    </row>
    <row r="303" spans="2:3" x14ac:dyDescent="0.25">
      <c r="B303" s="3"/>
      <c r="C303" s="3"/>
    </row>
    <row r="304" spans="2:3" x14ac:dyDescent="0.25">
      <c r="B304" s="3"/>
      <c r="C304" s="3"/>
    </row>
    <row r="305" spans="2:3" x14ac:dyDescent="0.25">
      <c r="B305" s="3"/>
      <c r="C305" s="3"/>
    </row>
    <row r="306" spans="2:3" x14ac:dyDescent="0.25">
      <c r="B306" s="3"/>
      <c r="C306" s="3"/>
    </row>
    <row r="307" spans="2:3" x14ac:dyDescent="0.25">
      <c r="B307" s="3"/>
      <c r="C307" s="3"/>
    </row>
    <row r="308" spans="2:3" x14ac:dyDescent="0.25">
      <c r="B308" s="3"/>
      <c r="C308" s="3"/>
    </row>
    <row r="309" spans="2:3" x14ac:dyDescent="0.25">
      <c r="B309" s="3"/>
      <c r="C309" s="3"/>
    </row>
    <row r="310" spans="2:3" x14ac:dyDescent="0.25">
      <c r="B310" s="3"/>
      <c r="C310" s="3"/>
    </row>
    <row r="311" spans="2:3" x14ac:dyDescent="0.25">
      <c r="B311" s="3"/>
      <c r="C311" s="3"/>
    </row>
    <row r="312" spans="2:3" x14ac:dyDescent="0.25">
      <c r="B312" s="3"/>
      <c r="C312" s="3"/>
    </row>
    <row r="313" spans="2:3" x14ac:dyDescent="0.25">
      <c r="B313" s="3"/>
      <c r="C313" s="3"/>
    </row>
    <row r="314" spans="2:3" x14ac:dyDescent="0.25">
      <c r="B314" s="3"/>
      <c r="C314" s="3"/>
    </row>
    <row r="315" spans="2:3" x14ac:dyDescent="0.25">
      <c r="B315" s="3"/>
      <c r="C315" s="3"/>
    </row>
    <row r="316" spans="2:3" x14ac:dyDescent="0.25">
      <c r="B316" s="3"/>
      <c r="C316" s="3"/>
    </row>
    <row r="317" spans="2:3" x14ac:dyDescent="0.25">
      <c r="B317" s="3"/>
      <c r="C317" s="3"/>
    </row>
    <row r="318" spans="2:3" x14ac:dyDescent="0.25">
      <c r="B318" s="3"/>
      <c r="C318" s="3"/>
    </row>
    <row r="319" spans="2:3" x14ac:dyDescent="0.25">
      <c r="B319" s="3"/>
      <c r="C319" s="3"/>
    </row>
    <row r="320" spans="2:3" x14ac:dyDescent="0.25">
      <c r="B320" s="3"/>
      <c r="C320" s="3"/>
    </row>
    <row r="321" spans="2:3" x14ac:dyDescent="0.25">
      <c r="B321" s="3"/>
      <c r="C321" s="3"/>
    </row>
    <row r="322" spans="2:3" x14ac:dyDescent="0.25">
      <c r="B322" s="3"/>
      <c r="C322" s="3"/>
    </row>
    <row r="323" spans="2:3" x14ac:dyDescent="0.25">
      <c r="B323" s="3"/>
      <c r="C323" s="3"/>
    </row>
    <row r="324" spans="2:3" x14ac:dyDescent="0.25">
      <c r="B324" s="3"/>
      <c r="C324" s="3"/>
    </row>
    <row r="325" spans="2:3" x14ac:dyDescent="0.25">
      <c r="B325" s="3"/>
      <c r="C325" s="3"/>
    </row>
    <row r="326" spans="2:3" x14ac:dyDescent="0.25">
      <c r="B326" s="3"/>
      <c r="C326" s="3"/>
    </row>
    <row r="327" spans="2:3" x14ac:dyDescent="0.25">
      <c r="B327" s="3"/>
      <c r="C327" s="3"/>
    </row>
    <row r="328" spans="2:3" x14ac:dyDescent="0.25">
      <c r="B328" s="3"/>
      <c r="C328" s="3"/>
    </row>
    <row r="329" spans="2:3" x14ac:dyDescent="0.25">
      <c r="B329" s="3"/>
      <c r="C329" s="3"/>
    </row>
    <row r="330" spans="2:3" x14ac:dyDescent="0.25">
      <c r="B330" s="3"/>
      <c r="C330" s="3"/>
    </row>
    <row r="331" spans="2:3" x14ac:dyDescent="0.25">
      <c r="B331" s="3"/>
      <c r="C331" s="3"/>
    </row>
    <row r="332" spans="2:3" x14ac:dyDescent="0.25">
      <c r="B332" s="3"/>
      <c r="C332" s="3"/>
    </row>
    <row r="333" spans="2:3" x14ac:dyDescent="0.25">
      <c r="B333" s="3"/>
      <c r="C333" s="3"/>
    </row>
    <row r="334" spans="2:3" x14ac:dyDescent="0.25">
      <c r="B334" s="3"/>
      <c r="C334" s="3"/>
    </row>
    <row r="335" spans="2:3" x14ac:dyDescent="0.25">
      <c r="B335" s="3"/>
      <c r="C335" s="3"/>
    </row>
    <row r="336" spans="2:3" x14ac:dyDescent="0.25">
      <c r="B336" s="3"/>
      <c r="C336" s="3"/>
    </row>
    <row r="337" spans="2:3" x14ac:dyDescent="0.25">
      <c r="B337" s="3"/>
      <c r="C337" s="3"/>
    </row>
    <row r="338" spans="2:3" x14ac:dyDescent="0.25">
      <c r="B338" s="3"/>
      <c r="C338" s="3"/>
    </row>
    <row r="339" spans="2:3" x14ac:dyDescent="0.25">
      <c r="B339" s="3"/>
      <c r="C339" s="3"/>
    </row>
    <row r="340" spans="2:3" x14ac:dyDescent="0.25">
      <c r="B340" s="3"/>
      <c r="C340" s="3"/>
    </row>
    <row r="341" spans="2:3" x14ac:dyDescent="0.25">
      <c r="B341" s="3"/>
      <c r="C341" s="3"/>
    </row>
    <row r="342" spans="2:3" x14ac:dyDescent="0.25">
      <c r="B342" s="3"/>
      <c r="C342" s="3"/>
    </row>
    <row r="343" spans="2:3" x14ac:dyDescent="0.25">
      <c r="B343" s="3"/>
      <c r="C343" s="3"/>
    </row>
    <row r="344" spans="2:3" x14ac:dyDescent="0.25">
      <c r="B344" s="3"/>
      <c r="C344" s="3"/>
    </row>
    <row r="345" spans="2:3" x14ac:dyDescent="0.25">
      <c r="B345" s="3"/>
      <c r="C345" s="3"/>
    </row>
    <row r="346" spans="2:3" x14ac:dyDescent="0.25">
      <c r="B346" s="3"/>
      <c r="C346" s="3"/>
    </row>
    <row r="347" spans="2:3" x14ac:dyDescent="0.25">
      <c r="B347" s="3"/>
      <c r="C347" s="3"/>
    </row>
    <row r="348" spans="2:3" x14ac:dyDescent="0.25">
      <c r="B348" s="3"/>
      <c r="C348" s="3"/>
    </row>
    <row r="349" spans="2:3" x14ac:dyDescent="0.25">
      <c r="B349" s="3"/>
      <c r="C349" s="3"/>
    </row>
    <row r="350" spans="2:3" x14ac:dyDescent="0.25">
      <c r="B350" s="3"/>
      <c r="C350" s="3"/>
    </row>
    <row r="351" spans="2:3" x14ac:dyDescent="0.25">
      <c r="B351" s="3"/>
      <c r="C351" s="3"/>
    </row>
    <row r="352" spans="2:3" x14ac:dyDescent="0.25">
      <c r="B352" s="3"/>
      <c r="C352" s="3"/>
    </row>
    <row r="353" spans="2:3" x14ac:dyDescent="0.25">
      <c r="B353" s="3"/>
      <c r="C353" s="3"/>
    </row>
    <row r="354" spans="2:3" x14ac:dyDescent="0.25">
      <c r="B354" s="3"/>
      <c r="C354" s="3"/>
    </row>
    <row r="355" spans="2:3" x14ac:dyDescent="0.25">
      <c r="B355" s="3"/>
      <c r="C355" s="3"/>
    </row>
    <row r="356" spans="2:3" x14ac:dyDescent="0.25">
      <c r="B356" s="3"/>
      <c r="C356" s="3"/>
    </row>
    <row r="357" spans="2:3" x14ac:dyDescent="0.25">
      <c r="B357" s="3"/>
      <c r="C357" s="3"/>
    </row>
    <row r="358" spans="2:3" x14ac:dyDescent="0.25">
      <c r="B358" s="3"/>
      <c r="C358" s="3"/>
    </row>
    <row r="359" spans="2:3" x14ac:dyDescent="0.25">
      <c r="B359" s="3"/>
      <c r="C359" s="3"/>
    </row>
    <row r="360" spans="2:3" x14ac:dyDescent="0.25">
      <c r="B360" s="3"/>
      <c r="C360" s="3"/>
    </row>
    <row r="361" spans="2:3" x14ac:dyDescent="0.25">
      <c r="B361" s="3"/>
      <c r="C361" s="3"/>
    </row>
    <row r="362" spans="2:3" x14ac:dyDescent="0.25">
      <c r="B362" s="3"/>
      <c r="C362" s="3"/>
    </row>
    <row r="363" spans="2:3" x14ac:dyDescent="0.25">
      <c r="B363" s="3"/>
      <c r="C363" s="3"/>
    </row>
    <row r="364" spans="2:3" x14ac:dyDescent="0.25">
      <c r="B364" s="3"/>
      <c r="C364" s="3"/>
    </row>
    <row r="365" spans="2:3" x14ac:dyDescent="0.25">
      <c r="B365" s="3"/>
      <c r="C365" s="3"/>
    </row>
    <row r="366" spans="2:3" x14ac:dyDescent="0.25">
      <c r="B366" s="3"/>
      <c r="C366" s="3"/>
    </row>
    <row r="367" spans="2:3" x14ac:dyDescent="0.25">
      <c r="B367" s="3"/>
      <c r="C367" s="3"/>
    </row>
    <row r="368" spans="2:3" x14ac:dyDescent="0.25">
      <c r="B368" s="3"/>
      <c r="C368" s="3"/>
    </row>
    <row r="369" spans="2:3" x14ac:dyDescent="0.25">
      <c r="B369" s="3"/>
      <c r="C369" s="3"/>
    </row>
    <row r="370" spans="2:3" x14ac:dyDescent="0.25">
      <c r="B370" s="3"/>
      <c r="C370" s="3"/>
    </row>
    <row r="371" spans="2:3" x14ac:dyDescent="0.25">
      <c r="B371" s="3"/>
      <c r="C371" s="3"/>
    </row>
    <row r="372" spans="2:3" x14ac:dyDescent="0.25">
      <c r="B372" s="3"/>
      <c r="C372" s="3"/>
    </row>
    <row r="373" spans="2:3" x14ac:dyDescent="0.25">
      <c r="B373" s="3"/>
      <c r="C373" s="3"/>
    </row>
    <row r="374" spans="2:3" x14ac:dyDescent="0.25">
      <c r="B374" s="3"/>
      <c r="C374" s="3"/>
    </row>
    <row r="375" spans="2:3" x14ac:dyDescent="0.25">
      <c r="B375" s="3"/>
      <c r="C375" s="3"/>
    </row>
    <row r="376" spans="2:3" x14ac:dyDescent="0.25">
      <c r="B376" s="3"/>
      <c r="C376" s="3"/>
    </row>
    <row r="377" spans="2:3" x14ac:dyDescent="0.25">
      <c r="B377" s="3"/>
      <c r="C377" s="3"/>
    </row>
    <row r="378" spans="2:3" x14ac:dyDescent="0.25">
      <c r="B378" s="3"/>
      <c r="C378" s="3"/>
    </row>
    <row r="379" spans="2:3" x14ac:dyDescent="0.25">
      <c r="B379" s="3"/>
      <c r="C379" s="3"/>
    </row>
    <row r="380" spans="2:3" x14ac:dyDescent="0.25">
      <c r="B380" s="3"/>
      <c r="C380" s="3"/>
    </row>
    <row r="381" spans="2:3" x14ac:dyDescent="0.25">
      <c r="B381" s="3"/>
      <c r="C381" s="3"/>
    </row>
    <row r="382" spans="2:3" x14ac:dyDescent="0.25">
      <c r="B382" s="3"/>
      <c r="C382" s="3"/>
    </row>
    <row r="383" spans="2:3" x14ac:dyDescent="0.25">
      <c r="B383" s="3"/>
      <c r="C383" s="3"/>
    </row>
    <row r="384" spans="2:3" x14ac:dyDescent="0.25">
      <c r="B384" s="3"/>
      <c r="C384" s="3"/>
    </row>
    <row r="385" spans="2:3" x14ac:dyDescent="0.25">
      <c r="B385" s="3"/>
      <c r="C385" s="3"/>
    </row>
    <row r="386" spans="2:3" x14ac:dyDescent="0.25">
      <c r="B386" s="3"/>
      <c r="C386" s="3"/>
    </row>
    <row r="387" spans="2:3" x14ac:dyDescent="0.25">
      <c r="B387" s="3"/>
      <c r="C387" s="3"/>
    </row>
    <row r="388" spans="2:3" x14ac:dyDescent="0.25">
      <c r="B388" s="3"/>
      <c r="C388" s="3"/>
    </row>
    <row r="389" spans="2:3" x14ac:dyDescent="0.25">
      <c r="B389" s="3"/>
      <c r="C389" s="3"/>
    </row>
    <row r="390" spans="2:3" x14ac:dyDescent="0.25">
      <c r="B390" s="3"/>
      <c r="C390" s="3"/>
    </row>
    <row r="391" spans="2:3" x14ac:dyDescent="0.25">
      <c r="B391" s="3"/>
      <c r="C391" s="3"/>
    </row>
    <row r="392" spans="2:3" x14ac:dyDescent="0.25">
      <c r="B392" s="3"/>
      <c r="C392" s="3"/>
    </row>
    <row r="393" spans="2:3" x14ac:dyDescent="0.25">
      <c r="B393" s="3"/>
      <c r="C393" s="3"/>
    </row>
    <row r="394" spans="2:3" x14ac:dyDescent="0.25">
      <c r="B394" s="3"/>
      <c r="C394" s="3"/>
    </row>
    <row r="395" spans="2:3" x14ac:dyDescent="0.25">
      <c r="B395" s="3"/>
      <c r="C395" s="3"/>
    </row>
    <row r="396" spans="2:3" x14ac:dyDescent="0.25">
      <c r="B396" s="3"/>
      <c r="C396" s="3"/>
    </row>
    <row r="397" spans="2:3" x14ac:dyDescent="0.25">
      <c r="B397" s="3"/>
      <c r="C397" s="3"/>
    </row>
    <row r="398" spans="2:3" x14ac:dyDescent="0.25">
      <c r="B398" s="3"/>
      <c r="C398" s="3"/>
    </row>
    <row r="399" spans="2:3" x14ac:dyDescent="0.25">
      <c r="B399" s="3"/>
      <c r="C399" s="3"/>
    </row>
    <row r="400" spans="2:3" x14ac:dyDescent="0.25">
      <c r="B400" s="3"/>
      <c r="C400" s="3"/>
    </row>
    <row r="401" spans="2:3" x14ac:dyDescent="0.25">
      <c r="B401" s="3"/>
      <c r="C401" s="3"/>
    </row>
    <row r="402" spans="2:3" x14ac:dyDescent="0.25">
      <c r="B402" s="3"/>
      <c r="C402" s="3"/>
    </row>
    <row r="403" spans="2:3" x14ac:dyDescent="0.25">
      <c r="B403" s="3"/>
      <c r="C403" s="3"/>
    </row>
    <row r="404" spans="2:3" x14ac:dyDescent="0.25">
      <c r="B404" s="3"/>
      <c r="C404" s="3"/>
    </row>
    <row r="405" spans="2:3" x14ac:dyDescent="0.25">
      <c r="B405" s="3"/>
      <c r="C405" s="3"/>
    </row>
    <row r="406" spans="2:3" x14ac:dyDescent="0.25">
      <c r="B406" s="3"/>
      <c r="C406" s="3"/>
    </row>
    <row r="407" spans="2:3" x14ac:dyDescent="0.25">
      <c r="B407" s="3"/>
      <c r="C407" s="3"/>
    </row>
    <row r="408" spans="2:3" x14ac:dyDescent="0.25">
      <c r="B408" s="3"/>
      <c r="C408" s="3"/>
    </row>
    <row r="409" spans="2:3" x14ac:dyDescent="0.25">
      <c r="B409" s="3"/>
      <c r="C409" s="3"/>
    </row>
    <row r="410" spans="2:3" x14ac:dyDescent="0.25">
      <c r="B410" s="3"/>
      <c r="C410" s="3"/>
    </row>
    <row r="411" spans="2:3" x14ac:dyDescent="0.25">
      <c r="B411" s="3"/>
      <c r="C411" s="3"/>
    </row>
    <row r="412" spans="2:3" x14ac:dyDescent="0.25">
      <c r="B412" s="3"/>
      <c r="C412" s="3"/>
    </row>
    <row r="413" spans="2:3" x14ac:dyDescent="0.25">
      <c r="B413" s="3"/>
      <c r="C413" s="3"/>
    </row>
    <row r="414" spans="2:3" x14ac:dyDescent="0.25">
      <c r="B414" s="3"/>
      <c r="C414" s="3"/>
    </row>
    <row r="415" spans="2:3" x14ac:dyDescent="0.25">
      <c r="B415" s="3"/>
      <c r="C415" s="3"/>
    </row>
    <row r="416" spans="2:3" x14ac:dyDescent="0.25">
      <c r="B416" s="3"/>
      <c r="C416" s="3"/>
    </row>
    <row r="417" spans="2:3" x14ac:dyDescent="0.25">
      <c r="B417" s="3"/>
      <c r="C417" s="3"/>
    </row>
    <row r="418" spans="2:3" x14ac:dyDescent="0.25">
      <c r="B418" s="3"/>
      <c r="C418" s="3"/>
    </row>
    <row r="419" spans="2:3" x14ac:dyDescent="0.25">
      <c r="B419" s="3"/>
      <c r="C419" s="3"/>
    </row>
    <row r="420" spans="2:3" x14ac:dyDescent="0.25">
      <c r="B420" s="3"/>
      <c r="C420" s="3"/>
    </row>
    <row r="421" spans="2:3" x14ac:dyDescent="0.25">
      <c r="B421" s="3"/>
      <c r="C421" s="3"/>
    </row>
    <row r="422" spans="2:3" x14ac:dyDescent="0.25">
      <c r="B422" s="3"/>
      <c r="C422" s="3"/>
    </row>
    <row r="423" spans="2:3" x14ac:dyDescent="0.25">
      <c r="B423" s="3"/>
      <c r="C423" s="3"/>
    </row>
    <row r="424" spans="2:3" x14ac:dyDescent="0.25">
      <c r="B424" s="3"/>
      <c r="C424" s="3"/>
    </row>
    <row r="425" spans="2:3" x14ac:dyDescent="0.25">
      <c r="B425" s="3"/>
      <c r="C425" s="3"/>
    </row>
    <row r="426" spans="2:3" x14ac:dyDescent="0.25">
      <c r="B426" s="3"/>
      <c r="C426" s="3"/>
    </row>
    <row r="427" spans="2:3" x14ac:dyDescent="0.25">
      <c r="B427" s="3"/>
      <c r="C427" s="3"/>
    </row>
    <row r="428" spans="2:3" x14ac:dyDescent="0.25">
      <c r="B428" s="3"/>
      <c r="C428" s="3"/>
    </row>
    <row r="429" spans="2:3" x14ac:dyDescent="0.25">
      <c r="B429" s="3"/>
      <c r="C429" s="3"/>
    </row>
    <row r="430" spans="2:3" x14ac:dyDescent="0.25">
      <c r="B430" s="3"/>
      <c r="C430" s="3"/>
    </row>
    <row r="431" spans="2:3" x14ac:dyDescent="0.25">
      <c r="B431" s="3"/>
      <c r="C431" s="3"/>
    </row>
    <row r="432" spans="2:3" x14ac:dyDescent="0.25">
      <c r="B432" s="3"/>
      <c r="C432" s="3"/>
    </row>
    <row r="433" spans="2:3" x14ac:dyDescent="0.25">
      <c r="B433" s="3"/>
      <c r="C433" s="3"/>
    </row>
    <row r="434" spans="2:3" x14ac:dyDescent="0.25">
      <c r="B434" s="3"/>
      <c r="C434" s="3"/>
    </row>
    <row r="435" spans="2:3" x14ac:dyDescent="0.25">
      <c r="B435" s="3"/>
      <c r="C435" s="3"/>
    </row>
    <row r="436" spans="2:3" x14ac:dyDescent="0.25">
      <c r="B436" s="3"/>
      <c r="C436" s="3"/>
    </row>
    <row r="437" spans="2:3" x14ac:dyDescent="0.25">
      <c r="B437" s="3"/>
      <c r="C437" s="3"/>
    </row>
    <row r="438" spans="2:3" x14ac:dyDescent="0.25">
      <c r="B438" s="3"/>
      <c r="C438" s="3"/>
    </row>
    <row r="439" spans="2:3" x14ac:dyDescent="0.25">
      <c r="B439" s="3"/>
      <c r="C439" s="3"/>
    </row>
    <row r="440" spans="2:3" x14ac:dyDescent="0.25">
      <c r="B440" s="3"/>
      <c r="C440" s="3"/>
    </row>
    <row r="441" spans="2:3" x14ac:dyDescent="0.25">
      <c r="B441" s="3"/>
      <c r="C441" s="3"/>
    </row>
    <row r="442" spans="2:3" x14ac:dyDescent="0.25">
      <c r="B442" s="3"/>
      <c r="C442" s="3"/>
    </row>
    <row r="443" spans="2:3" x14ac:dyDescent="0.25">
      <c r="B443" s="3"/>
      <c r="C443" s="3"/>
    </row>
    <row r="444" spans="2:3" x14ac:dyDescent="0.25">
      <c r="B444" s="3"/>
      <c r="C444" s="3"/>
    </row>
    <row r="445" spans="2:3" x14ac:dyDescent="0.25">
      <c r="B445" s="3"/>
      <c r="C445" s="3"/>
    </row>
    <row r="446" spans="2:3" x14ac:dyDescent="0.25">
      <c r="B446" s="3"/>
      <c r="C446" s="3"/>
    </row>
    <row r="447" spans="2:3" x14ac:dyDescent="0.25">
      <c r="B447" s="3"/>
      <c r="C447" s="3"/>
    </row>
    <row r="448" spans="2:3" x14ac:dyDescent="0.25">
      <c r="B448" s="3"/>
      <c r="C448" s="3"/>
    </row>
    <row r="449" spans="2:3" x14ac:dyDescent="0.25">
      <c r="B449" s="3"/>
      <c r="C449" s="3"/>
    </row>
    <row r="450" spans="2:3" x14ac:dyDescent="0.25">
      <c r="B450" s="3"/>
      <c r="C450" s="3"/>
    </row>
    <row r="451" spans="2:3" x14ac:dyDescent="0.25">
      <c r="B451" s="3"/>
      <c r="C451" s="3"/>
    </row>
    <row r="452" spans="2:3" x14ac:dyDescent="0.25">
      <c r="B452" s="3"/>
      <c r="C452" s="3"/>
    </row>
    <row r="453" spans="2:3" x14ac:dyDescent="0.25">
      <c r="B453" s="3"/>
      <c r="C453" s="3"/>
    </row>
    <row r="454" spans="2:3" x14ac:dyDescent="0.25">
      <c r="B454" s="3"/>
      <c r="C454" s="3"/>
    </row>
    <row r="455" spans="2:3" x14ac:dyDescent="0.25">
      <c r="B455" s="3"/>
      <c r="C455" s="3"/>
    </row>
    <row r="456" spans="2:3" x14ac:dyDescent="0.25">
      <c r="B456" s="3"/>
      <c r="C456" s="3"/>
    </row>
    <row r="457" spans="2:3" x14ac:dyDescent="0.25">
      <c r="B457" s="3"/>
      <c r="C457" s="3"/>
    </row>
    <row r="458" spans="2:3" x14ac:dyDescent="0.25">
      <c r="B458" s="3"/>
      <c r="C458" s="3"/>
    </row>
    <row r="459" spans="2:3" x14ac:dyDescent="0.25">
      <c r="B459" s="3"/>
      <c r="C459" s="3"/>
    </row>
    <row r="460" spans="2:3" x14ac:dyDescent="0.25">
      <c r="B460" s="3"/>
      <c r="C460" s="3"/>
    </row>
    <row r="461" spans="2:3" x14ac:dyDescent="0.25">
      <c r="B461" s="3"/>
      <c r="C461" s="3"/>
    </row>
    <row r="462" spans="2:3" x14ac:dyDescent="0.25">
      <c r="B462" s="3"/>
      <c r="C462" s="3"/>
    </row>
    <row r="463" spans="2:3" x14ac:dyDescent="0.25">
      <c r="B463" s="3"/>
      <c r="C463" s="3"/>
    </row>
    <row r="464" spans="2:3" x14ac:dyDescent="0.25">
      <c r="B464" s="3"/>
      <c r="C464" s="3"/>
    </row>
    <row r="465" spans="2:3" x14ac:dyDescent="0.25">
      <c r="B465" s="3"/>
      <c r="C465" s="3"/>
    </row>
    <row r="466" spans="2:3" x14ac:dyDescent="0.25">
      <c r="B466" s="3"/>
      <c r="C466" s="3"/>
    </row>
    <row r="467" spans="2:3" x14ac:dyDescent="0.25">
      <c r="B467" s="3"/>
      <c r="C467" s="3"/>
    </row>
    <row r="468" spans="2:3" x14ac:dyDescent="0.25">
      <c r="B468" s="3"/>
      <c r="C468" s="3"/>
    </row>
    <row r="469" spans="2:3" x14ac:dyDescent="0.25">
      <c r="B469" s="3"/>
      <c r="C469" s="3"/>
    </row>
    <row r="470" spans="2:3" x14ac:dyDescent="0.25">
      <c r="B470" s="3"/>
      <c r="C470" s="3"/>
    </row>
    <row r="471" spans="2:3" x14ac:dyDescent="0.25">
      <c r="B471" s="3"/>
      <c r="C471" s="3"/>
    </row>
    <row r="472" spans="2:3" x14ac:dyDescent="0.25">
      <c r="B472" s="3"/>
      <c r="C472" s="3"/>
    </row>
    <row r="473" spans="2:3" x14ac:dyDescent="0.25">
      <c r="B473" s="3"/>
      <c r="C473" s="3"/>
    </row>
    <row r="474" spans="2:3" x14ac:dyDescent="0.25">
      <c r="B474" s="3"/>
      <c r="C474" s="3"/>
    </row>
    <row r="475" spans="2:3" x14ac:dyDescent="0.25">
      <c r="B475" s="3"/>
      <c r="C475" s="3"/>
    </row>
    <row r="476" spans="2:3" x14ac:dyDescent="0.25">
      <c r="B476" s="3"/>
      <c r="C476" s="3"/>
    </row>
    <row r="477" spans="2:3" x14ac:dyDescent="0.25">
      <c r="B477" s="3"/>
      <c r="C477" s="3"/>
    </row>
    <row r="478" spans="2:3" x14ac:dyDescent="0.25">
      <c r="B478" s="3"/>
      <c r="C478" s="3"/>
    </row>
    <row r="479" spans="2:3" x14ac:dyDescent="0.25">
      <c r="B479" s="3"/>
      <c r="C479" s="3"/>
    </row>
    <row r="480" spans="2:3" x14ac:dyDescent="0.25">
      <c r="B480" s="3"/>
      <c r="C480" s="3"/>
    </row>
    <row r="481" spans="2:3" x14ac:dyDescent="0.25">
      <c r="B481" s="3"/>
      <c r="C481" s="3"/>
    </row>
    <row r="482" spans="2:3" x14ac:dyDescent="0.25">
      <c r="B482" s="3"/>
      <c r="C482" s="3"/>
    </row>
    <row r="483" spans="2:3" x14ac:dyDescent="0.25">
      <c r="B483" s="3"/>
      <c r="C483" s="3"/>
    </row>
    <row r="484" spans="2:3" x14ac:dyDescent="0.25">
      <c r="B484" s="3"/>
      <c r="C484" s="3"/>
    </row>
    <row r="485" spans="2:3" x14ac:dyDescent="0.25">
      <c r="B485" s="3"/>
      <c r="C485" s="3"/>
    </row>
    <row r="486" spans="2:3" x14ac:dyDescent="0.25">
      <c r="B486" s="3"/>
      <c r="C486" s="3"/>
    </row>
    <row r="487" spans="2:3" x14ac:dyDescent="0.25">
      <c r="B487" s="3"/>
      <c r="C487" s="3"/>
    </row>
    <row r="488" spans="2:3" x14ac:dyDescent="0.25">
      <c r="B488" s="3"/>
      <c r="C488" s="3"/>
    </row>
    <row r="489" spans="2:3" x14ac:dyDescent="0.25">
      <c r="B489" s="3"/>
      <c r="C489" s="3"/>
    </row>
    <row r="490" spans="2:3" x14ac:dyDescent="0.25">
      <c r="B490" s="3"/>
      <c r="C490" s="3"/>
    </row>
    <row r="491" spans="2:3" x14ac:dyDescent="0.25">
      <c r="B491" s="3"/>
      <c r="C491" s="3"/>
    </row>
    <row r="492" spans="2:3" x14ac:dyDescent="0.25">
      <c r="B492" s="3"/>
      <c r="C492" s="3"/>
    </row>
    <row r="493" spans="2:3" x14ac:dyDescent="0.25">
      <c r="B493" s="3"/>
      <c r="C493" s="3"/>
    </row>
    <row r="494" spans="2:3" x14ac:dyDescent="0.25">
      <c r="B494" s="3"/>
      <c r="C494" s="3"/>
    </row>
    <row r="495" spans="2:3" x14ac:dyDescent="0.25">
      <c r="B495" s="3"/>
      <c r="C495" s="3"/>
    </row>
    <row r="496" spans="2:3" x14ac:dyDescent="0.25">
      <c r="B496" s="3"/>
      <c r="C496" s="3"/>
    </row>
    <row r="497" spans="2:3" x14ac:dyDescent="0.25">
      <c r="B497" s="3"/>
      <c r="C497" s="3"/>
    </row>
    <row r="498" spans="2:3" x14ac:dyDescent="0.25">
      <c r="B498" s="3"/>
      <c r="C498" s="3"/>
    </row>
    <row r="499" spans="2:3" x14ac:dyDescent="0.25">
      <c r="B499" s="3"/>
      <c r="C499" s="3"/>
    </row>
    <row r="500" spans="2:3" x14ac:dyDescent="0.25">
      <c r="B500" s="3"/>
      <c r="C500" s="3"/>
    </row>
    <row r="501" spans="2:3" x14ac:dyDescent="0.25">
      <c r="B501" s="3"/>
      <c r="C501" s="3"/>
    </row>
    <row r="502" spans="2:3" x14ac:dyDescent="0.25">
      <c r="B502" s="3"/>
      <c r="C502" s="3"/>
    </row>
    <row r="503" spans="2:3" x14ac:dyDescent="0.25">
      <c r="B503" s="3"/>
      <c r="C503" s="3"/>
    </row>
    <row r="504" spans="2:3" x14ac:dyDescent="0.25">
      <c r="B504" s="3"/>
      <c r="C504" s="3"/>
    </row>
    <row r="505" spans="2:3" x14ac:dyDescent="0.25">
      <c r="B505" s="3"/>
      <c r="C505" s="3"/>
    </row>
    <row r="506" spans="2:3" x14ac:dyDescent="0.25">
      <c r="B506" s="3"/>
      <c r="C506" s="3"/>
    </row>
    <row r="507" spans="2:3" x14ac:dyDescent="0.25">
      <c r="B507" s="3"/>
      <c r="C507" s="3"/>
    </row>
    <row r="508" spans="2:3" x14ac:dyDescent="0.25">
      <c r="B508" s="3"/>
      <c r="C508" s="3"/>
    </row>
    <row r="509" spans="2:3" x14ac:dyDescent="0.25">
      <c r="B509" s="3"/>
      <c r="C509" s="3"/>
    </row>
    <row r="510" spans="2:3" x14ac:dyDescent="0.25">
      <c r="B510" s="3"/>
      <c r="C510" s="3"/>
    </row>
    <row r="511" spans="2:3" x14ac:dyDescent="0.25">
      <c r="B511" s="3"/>
      <c r="C511" s="3"/>
    </row>
    <row r="512" spans="2:3" x14ac:dyDescent="0.25">
      <c r="B512" s="3"/>
      <c r="C512" s="3"/>
    </row>
    <row r="513" spans="2:3" x14ac:dyDescent="0.25">
      <c r="B513" s="3"/>
      <c r="C513" s="3"/>
    </row>
    <row r="514" spans="2:3" x14ac:dyDescent="0.25">
      <c r="B514" s="3"/>
      <c r="C514" s="3"/>
    </row>
    <row r="515" spans="2:3" x14ac:dyDescent="0.25">
      <c r="B515" s="3"/>
      <c r="C515" s="3"/>
    </row>
    <row r="516" spans="2:3" x14ac:dyDescent="0.25">
      <c r="B516" s="3"/>
      <c r="C516" s="3"/>
    </row>
    <row r="517" spans="2:3" x14ac:dyDescent="0.25">
      <c r="B517" s="3"/>
      <c r="C517" s="3"/>
    </row>
    <row r="518" spans="2:3" x14ac:dyDescent="0.25">
      <c r="B518" s="3"/>
      <c r="C518" s="3"/>
    </row>
    <row r="519" spans="2:3" x14ac:dyDescent="0.25">
      <c r="B519" s="3"/>
      <c r="C519" s="3"/>
    </row>
    <row r="520" spans="2:3" x14ac:dyDescent="0.25">
      <c r="B520" s="3"/>
      <c r="C520" s="3"/>
    </row>
    <row r="521" spans="2:3" x14ac:dyDescent="0.25">
      <c r="B521" s="3"/>
      <c r="C521" s="3"/>
    </row>
    <row r="522" spans="2:3" x14ac:dyDescent="0.25">
      <c r="B522" s="3"/>
      <c r="C522" s="3"/>
    </row>
    <row r="523" spans="2:3" x14ac:dyDescent="0.25">
      <c r="B523" s="3"/>
      <c r="C523" s="3"/>
    </row>
    <row r="524" spans="2:3" x14ac:dyDescent="0.25">
      <c r="B524" s="3"/>
      <c r="C524" s="3"/>
    </row>
    <row r="525" spans="2:3" x14ac:dyDescent="0.25">
      <c r="B525" s="3"/>
      <c r="C525" s="3"/>
    </row>
    <row r="526" spans="2:3" x14ac:dyDescent="0.25">
      <c r="B526" s="3"/>
      <c r="C526" s="3"/>
    </row>
    <row r="527" spans="2:3" x14ac:dyDescent="0.25">
      <c r="B527" s="3"/>
      <c r="C527" s="3"/>
    </row>
    <row r="528" spans="2:3" x14ac:dyDescent="0.25">
      <c r="B528" s="3"/>
      <c r="C528" s="3"/>
    </row>
    <row r="529" spans="2:3" x14ac:dyDescent="0.25">
      <c r="B529" s="3"/>
      <c r="C529" s="3"/>
    </row>
    <row r="530" spans="2:3" x14ac:dyDescent="0.25">
      <c r="B530" s="3"/>
      <c r="C530" s="3"/>
    </row>
    <row r="531" spans="2:3" x14ac:dyDescent="0.25">
      <c r="B531" s="3"/>
      <c r="C531" s="3"/>
    </row>
    <row r="532" spans="2:3" x14ac:dyDescent="0.25">
      <c r="B532" s="3"/>
      <c r="C532" s="3"/>
    </row>
    <row r="533" spans="2:3" x14ac:dyDescent="0.25">
      <c r="B533" s="3"/>
      <c r="C533" s="3"/>
    </row>
    <row r="534" spans="2:3" x14ac:dyDescent="0.25">
      <c r="B534" s="3"/>
      <c r="C534" s="3"/>
    </row>
    <row r="535" spans="2:3" x14ac:dyDescent="0.25">
      <c r="B535" s="3"/>
      <c r="C535" s="3"/>
    </row>
    <row r="536" spans="2:3" x14ac:dyDescent="0.25">
      <c r="B536" s="3"/>
      <c r="C536" s="3"/>
    </row>
    <row r="537" spans="2:3" x14ac:dyDescent="0.25">
      <c r="B537" s="3"/>
      <c r="C537" s="3"/>
    </row>
    <row r="538" spans="2:3" x14ac:dyDescent="0.25">
      <c r="B538" s="3"/>
      <c r="C538" s="3"/>
    </row>
    <row r="539" spans="2:3" x14ac:dyDescent="0.25">
      <c r="B539" s="3"/>
      <c r="C539" s="3"/>
    </row>
    <row r="540" spans="2:3" x14ac:dyDescent="0.25">
      <c r="B540" s="3"/>
      <c r="C540" s="3"/>
    </row>
    <row r="541" spans="2:3" x14ac:dyDescent="0.25">
      <c r="B541" s="3"/>
      <c r="C541" s="3"/>
    </row>
    <row r="542" spans="2:3" x14ac:dyDescent="0.25">
      <c r="B542" s="3"/>
      <c r="C542" s="3"/>
    </row>
    <row r="543" spans="2:3" x14ac:dyDescent="0.25">
      <c r="B543" s="3"/>
      <c r="C543" s="3"/>
    </row>
    <row r="544" spans="2:3" x14ac:dyDescent="0.25">
      <c r="B544" s="3"/>
      <c r="C544" s="3"/>
    </row>
    <row r="545" spans="2:3" x14ac:dyDescent="0.25">
      <c r="B545" s="3"/>
      <c r="C545" s="3"/>
    </row>
    <row r="546" spans="2:3" x14ac:dyDescent="0.25">
      <c r="B546" s="3"/>
      <c r="C546" s="3"/>
    </row>
    <row r="547" spans="2:3" x14ac:dyDescent="0.25">
      <c r="B547" s="3"/>
      <c r="C547" s="3"/>
    </row>
    <row r="548" spans="2:3" x14ac:dyDescent="0.25">
      <c r="B548" s="3"/>
      <c r="C548" s="3"/>
    </row>
    <row r="549" spans="2:3" x14ac:dyDescent="0.25">
      <c r="B549" s="3"/>
      <c r="C549" s="3"/>
    </row>
    <row r="550" spans="2:3" x14ac:dyDescent="0.25">
      <c r="B550" s="3"/>
      <c r="C550" s="3"/>
    </row>
    <row r="551" spans="2:3" x14ac:dyDescent="0.25">
      <c r="B551" s="3"/>
      <c r="C551" s="3"/>
    </row>
    <row r="552" spans="2:3" x14ac:dyDescent="0.25">
      <c r="B552" s="3"/>
      <c r="C552" s="3"/>
    </row>
    <row r="553" spans="2:3" x14ac:dyDescent="0.25">
      <c r="B553" s="3"/>
      <c r="C553" s="3"/>
    </row>
    <row r="554" spans="2:3" x14ac:dyDescent="0.25">
      <c r="B554" s="3"/>
      <c r="C554" s="3"/>
    </row>
    <row r="555" spans="2:3" x14ac:dyDescent="0.25">
      <c r="B555" s="3"/>
      <c r="C555" s="3"/>
    </row>
    <row r="556" spans="2:3" x14ac:dyDescent="0.25">
      <c r="B556" s="3"/>
      <c r="C556" s="3"/>
    </row>
    <row r="557" spans="2:3" x14ac:dyDescent="0.25">
      <c r="B557" s="3"/>
      <c r="C557" s="3"/>
    </row>
    <row r="558" spans="2:3" x14ac:dyDescent="0.25">
      <c r="B558" s="3"/>
      <c r="C558" s="3"/>
    </row>
    <row r="559" spans="2:3" x14ac:dyDescent="0.25">
      <c r="B559" s="3"/>
      <c r="C559" s="3"/>
    </row>
    <row r="560" spans="2:3" x14ac:dyDescent="0.25">
      <c r="B560" s="3"/>
      <c r="C560" s="3"/>
    </row>
    <row r="561" spans="2:3" x14ac:dyDescent="0.25">
      <c r="B561" s="3"/>
      <c r="C561" s="3"/>
    </row>
    <row r="562" spans="2:3" x14ac:dyDescent="0.25">
      <c r="B562" s="3"/>
      <c r="C562" s="3"/>
    </row>
    <row r="563" spans="2:3" x14ac:dyDescent="0.25">
      <c r="B563" s="3"/>
      <c r="C563" s="3"/>
    </row>
    <row r="564" spans="2:3" x14ac:dyDescent="0.25">
      <c r="B564" s="3"/>
      <c r="C564" s="3"/>
    </row>
    <row r="565" spans="2:3" x14ac:dyDescent="0.25">
      <c r="B565" s="3"/>
      <c r="C565" s="3"/>
    </row>
    <row r="566" spans="2:3" x14ac:dyDescent="0.25">
      <c r="B566" s="3"/>
      <c r="C566" s="3"/>
    </row>
    <row r="567" spans="2:3" x14ac:dyDescent="0.25">
      <c r="B567" s="3"/>
      <c r="C567" s="3"/>
    </row>
    <row r="568" spans="2:3" x14ac:dyDescent="0.25">
      <c r="B568" s="3"/>
      <c r="C568" s="3"/>
    </row>
    <row r="569" spans="2:3" x14ac:dyDescent="0.25">
      <c r="B569" s="3"/>
      <c r="C569" s="3"/>
    </row>
    <row r="570" spans="2:3" x14ac:dyDescent="0.25">
      <c r="B570" s="3"/>
      <c r="C570" s="3"/>
    </row>
    <row r="571" spans="2:3" x14ac:dyDescent="0.25">
      <c r="B571" s="3"/>
      <c r="C571" s="3"/>
    </row>
    <row r="572" spans="2:3" x14ac:dyDescent="0.25">
      <c r="B572" s="3"/>
      <c r="C572" s="3"/>
    </row>
    <row r="573" spans="2:3" x14ac:dyDescent="0.25">
      <c r="B573" s="3"/>
      <c r="C573" s="3"/>
    </row>
    <row r="574" spans="2:3" x14ac:dyDescent="0.25">
      <c r="B574" s="3"/>
      <c r="C574" s="3"/>
    </row>
    <row r="575" spans="2:3" x14ac:dyDescent="0.25">
      <c r="B575" s="3"/>
      <c r="C575" s="3"/>
    </row>
    <row r="576" spans="2:3" x14ac:dyDescent="0.25">
      <c r="B576" s="3"/>
      <c r="C576" s="3"/>
    </row>
    <row r="577" spans="2:3" x14ac:dyDescent="0.25">
      <c r="B577" s="3"/>
      <c r="C577" s="3"/>
    </row>
    <row r="578" spans="2:3" x14ac:dyDescent="0.25">
      <c r="B578" s="3"/>
      <c r="C578" s="3"/>
    </row>
    <row r="579" spans="2:3" x14ac:dyDescent="0.25">
      <c r="B579" s="3"/>
      <c r="C579" s="3"/>
    </row>
    <row r="580" spans="2:3" x14ac:dyDescent="0.25">
      <c r="B580" s="3"/>
      <c r="C580" s="3"/>
    </row>
    <row r="581" spans="2:3" x14ac:dyDescent="0.25">
      <c r="B581" s="3"/>
      <c r="C581" s="3"/>
    </row>
    <row r="582" spans="2:3" x14ac:dyDescent="0.25">
      <c r="B582" s="3"/>
      <c r="C582" s="3"/>
    </row>
    <row r="583" spans="2:3" x14ac:dyDescent="0.25">
      <c r="B583" s="3"/>
      <c r="C583" s="3"/>
    </row>
    <row r="584" spans="2:3" x14ac:dyDescent="0.25">
      <c r="B584" s="3"/>
      <c r="C584" s="3"/>
    </row>
    <row r="585" spans="2:3" x14ac:dyDescent="0.25">
      <c r="B585" s="3"/>
      <c r="C585" s="3"/>
    </row>
    <row r="586" spans="2:3" x14ac:dyDescent="0.25">
      <c r="B586" s="3"/>
      <c r="C586" s="3"/>
    </row>
    <row r="587" spans="2:3" x14ac:dyDescent="0.25">
      <c r="B587" s="3"/>
      <c r="C587" s="3"/>
    </row>
    <row r="588" spans="2:3" x14ac:dyDescent="0.25">
      <c r="B588" s="3"/>
      <c r="C588" s="3"/>
    </row>
    <row r="589" spans="2:3" x14ac:dyDescent="0.25">
      <c r="B589" s="3"/>
      <c r="C589" s="3"/>
    </row>
    <row r="590" spans="2:3" x14ac:dyDescent="0.25">
      <c r="B590" s="3"/>
      <c r="C590" s="3"/>
    </row>
    <row r="591" spans="2:3" x14ac:dyDescent="0.25">
      <c r="B591" s="3"/>
      <c r="C591" s="3"/>
    </row>
    <row r="592" spans="2:3" x14ac:dyDescent="0.25">
      <c r="B592" s="3"/>
      <c r="C592" s="3"/>
    </row>
    <row r="593" spans="2:3" x14ac:dyDescent="0.25">
      <c r="B593" s="3"/>
      <c r="C593" s="3"/>
    </row>
    <row r="594" spans="2:3" x14ac:dyDescent="0.25">
      <c r="B594" s="3"/>
      <c r="C594" s="3"/>
    </row>
    <row r="595" spans="2:3" x14ac:dyDescent="0.25">
      <c r="B595" s="3"/>
      <c r="C595" s="3"/>
    </row>
    <row r="596" spans="2:3" x14ac:dyDescent="0.25">
      <c r="B596" s="3"/>
      <c r="C596" s="3"/>
    </row>
    <row r="597" spans="2:3" x14ac:dyDescent="0.25">
      <c r="B597" s="3"/>
      <c r="C597" s="3"/>
    </row>
    <row r="598" spans="2:3" x14ac:dyDescent="0.25">
      <c r="B598" s="3"/>
      <c r="C598" s="3"/>
    </row>
    <row r="599" spans="2:3" x14ac:dyDescent="0.25">
      <c r="B599" s="3"/>
      <c r="C599" s="3"/>
    </row>
    <row r="600" spans="2:3" x14ac:dyDescent="0.25">
      <c r="B600" s="3"/>
      <c r="C600" s="3"/>
    </row>
    <row r="601" spans="2:3" x14ac:dyDescent="0.25">
      <c r="B601" s="3"/>
      <c r="C601" s="3"/>
    </row>
    <row r="602" spans="2:3" x14ac:dyDescent="0.25">
      <c r="B602" s="3"/>
      <c r="C602" s="3"/>
    </row>
    <row r="603" spans="2:3" x14ac:dyDescent="0.25">
      <c r="B603" s="3"/>
      <c r="C603" s="3"/>
    </row>
    <row r="604" spans="2:3" x14ac:dyDescent="0.25">
      <c r="B604" s="3"/>
      <c r="C604" s="3"/>
    </row>
    <row r="605" spans="2:3" x14ac:dyDescent="0.25">
      <c r="B605" s="3"/>
      <c r="C605" s="3"/>
    </row>
    <row r="606" spans="2:3" x14ac:dyDescent="0.25">
      <c r="B606" s="3"/>
      <c r="C606" s="3"/>
    </row>
    <row r="607" spans="2:3" x14ac:dyDescent="0.25">
      <c r="B607" s="3"/>
      <c r="C607" s="3"/>
    </row>
    <row r="608" spans="2:3" x14ac:dyDescent="0.25">
      <c r="B608" s="3"/>
      <c r="C608" s="3"/>
    </row>
    <row r="609" spans="2:3" x14ac:dyDescent="0.25">
      <c r="B609" s="3"/>
      <c r="C609" s="3"/>
    </row>
    <row r="610" spans="2:3" x14ac:dyDescent="0.25">
      <c r="B610" s="3"/>
      <c r="C610" s="3"/>
    </row>
    <row r="611" spans="2:3" x14ac:dyDescent="0.25">
      <c r="B611" s="3"/>
      <c r="C611" s="3"/>
    </row>
    <row r="612" spans="2:3" x14ac:dyDescent="0.25">
      <c r="B612" s="3"/>
      <c r="C612" s="3"/>
    </row>
    <row r="613" spans="2:3" x14ac:dyDescent="0.25">
      <c r="B613" s="3"/>
      <c r="C613" s="3"/>
    </row>
    <row r="614" spans="2:3" x14ac:dyDescent="0.25">
      <c r="B614" s="3"/>
      <c r="C614" s="3"/>
    </row>
    <row r="615" spans="2:3" x14ac:dyDescent="0.25">
      <c r="B615" s="3"/>
      <c r="C615" s="3"/>
    </row>
    <row r="616" spans="2:3" x14ac:dyDescent="0.25">
      <c r="B616" s="3"/>
      <c r="C616" s="3"/>
    </row>
    <row r="617" spans="2:3" x14ac:dyDescent="0.25">
      <c r="B617" s="3"/>
      <c r="C617" s="3"/>
    </row>
    <row r="618" spans="2:3" x14ac:dyDescent="0.25">
      <c r="B618" s="3"/>
      <c r="C618" s="3"/>
    </row>
    <row r="619" spans="2:3" x14ac:dyDescent="0.25">
      <c r="B619" s="3"/>
      <c r="C619" s="3"/>
    </row>
    <row r="620" spans="2:3" x14ac:dyDescent="0.25">
      <c r="B620" s="3"/>
      <c r="C620" s="3"/>
    </row>
    <row r="621" spans="2:3" x14ac:dyDescent="0.25">
      <c r="B621" s="3"/>
      <c r="C621" s="3"/>
    </row>
    <row r="622" spans="2:3" x14ac:dyDescent="0.25">
      <c r="B622" s="3"/>
      <c r="C622" s="3"/>
    </row>
    <row r="623" spans="2:3" x14ac:dyDescent="0.25">
      <c r="B623" s="3"/>
      <c r="C623" s="3"/>
    </row>
    <row r="624" spans="2:3" x14ac:dyDescent="0.25">
      <c r="B624" s="3"/>
      <c r="C624" s="3"/>
    </row>
    <row r="625" spans="2:3" x14ac:dyDescent="0.25">
      <c r="B625" s="3"/>
      <c r="C625" s="3"/>
    </row>
    <row r="626" spans="2:3" x14ac:dyDescent="0.25">
      <c r="B626" s="3"/>
      <c r="C626" s="3"/>
    </row>
    <row r="627" spans="2:3" x14ac:dyDescent="0.25">
      <c r="B627" s="3"/>
      <c r="C627" s="3"/>
    </row>
    <row r="628" spans="2:3" x14ac:dyDescent="0.25">
      <c r="B628" s="3"/>
      <c r="C628" s="3"/>
    </row>
    <row r="629" spans="2:3" x14ac:dyDescent="0.25">
      <c r="B629" s="3"/>
      <c r="C629" s="3"/>
    </row>
    <row r="630" spans="2:3" x14ac:dyDescent="0.25">
      <c r="B630" s="3"/>
      <c r="C630" s="3"/>
    </row>
    <row r="631" spans="2:3" x14ac:dyDescent="0.25">
      <c r="B631" s="3"/>
      <c r="C631" s="3"/>
    </row>
    <row r="632" spans="2:3" x14ac:dyDescent="0.25">
      <c r="B632" s="3"/>
      <c r="C632" s="3"/>
    </row>
    <row r="633" spans="2:3" x14ac:dyDescent="0.25">
      <c r="B633" s="3"/>
      <c r="C633" s="3"/>
    </row>
    <row r="634" spans="2:3" x14ac:dyDescent="0.25">
      <c r="B634" s="3"/>
      <c r="C634" s="3"/>
    </row>
    <row r="635" spans="2:3" x14ac:dyDescent="0.25">
      <c r="B635" s="3"/>
      <c r="C635" s="3"/>
    </row>
    <row r="636" spans="2:3" x14ac:dyDescent="0.25">
      <c r="B636" s="3"/>
      <c r="C636" s="3"/>
    </row>
    <row r="637" spans="2:3" x14ac:dyDescent="0.25">
      <c r="B637" s="3"/>
      <c r="C637" s="3"/>
    </row>
    <row r="638" spans="2:3" x14ac:dyDescent="0.25">
      <c r="B638" s="3"/>
      <c r="C638" s="3"/>
    </row>
    <row r="639" spans="2:3" x14ac:dyDescent="0.25">
      <c r="B639" s="3"/>
      <c r="C639" s="3"/>
    </row>
    <row r="640" spans="2:3" x14ac:dyDescent="0.25">
      <c r="B640" s="3"/>
      <c r="C640" s="3"/>
    </row>
    <row r="641" spans="2:3" x14ac:dyDescent="0.25">
      <c r="B641" s="3"/>
      <c r="C641" s="3"/>
    </row>
    <row r="642" spans="2:3" x14ac:dyDescent="0.25">
      <c r="B642" s="3"/>
      <c r="C642" s="3"/>
    </row>
    <row r="643" spans="2:3" x14ac:dyDescent="0.25">
      <c r="B643" s="3"/>
      <c r="C643" s="3"/>
    </row>
    <row r="644" spans="2:3" x14ac:dyDescent="0.25">
      <c r="B644" s="3"/>
      <c r="C644" s="3"/>
    </row>
    <row r="645" spans="2:3" x14ac:dyDescent="0.25">
      <c r="B645" s="3"/>
      <c r="C645" s="3"/>
    </row>
    <row r="646" spans="2:3" x14ac:dyDescent="0.25">
      <c r="B646" s="3"/>
      <c r="C646" s="3"/>
    </row>
    <row r="647" spans="2:3" x14ac:dyDescent="0.25">
      <c r="B647" s="3"/>
      <c r="C647" s="3"/>
    </row>
    <row r="648" spans="2:3" x14ac:dyDescent="0.25">
      <c r="B648" s="3"/>
      <c r="C648" s="3"/>
    </row>
    <row r="649" spans="2:3" x14ac:dyDescent="0.25">
      <c r="B649" s="3"/>
      <c r="C649" s="3"/>
    </row>
    <row r="650" spans="2:3" x14ac:dyDescent="0.25">
      <c r="B650" s="3"/>
      <c r="C650" s="3"/>
    </row>
    <row r="651" spans="2:3" x14ac:dyDescent="0.25">
      <c r="B651" s="3"/>
      <c r="C651" s="3"/>
    </row>
    <row r="652" spans="2:3" x14ac:dyDescent="0.25">
      <c r="B652" s="3"/>
      <c r="C652" s="3"/>
    </row>
    <row r="653" spans="2:3" x14ac:dyDescent="0.25">
      <c r="B653" s="3"/>
      <c r="C653" s="3"/>
    </row>
    <row r="654" spans="2:3" x14ac:dyDescent="0.25">
      <c r="B654" s="3"/>
      <c r="C654" s="3"/>
    </row>
    <row r="655" spans="2:3" x14ac:dyDescent="0.25">
      <c r="B655" s="3"/>
      <c r="C655" s="3"/>
    </row>
    <row r="656" spans="2:3" x14ac:dyDescent="0.25">
      <c r="B656" s="3"/>
      <c r="C656" s="3"/>
    </row>
    <row r="657" spans="2:3" x14ac:dyDescent="0.25">
      <c r="B657" s="3"/>
      <c r="C657" s="3"/>
    </row>
    <row r="658" spans="2:3" x14ac:dyDescent="0.25">
      <c r="B658" s="3"/>
      <c r="C658" s="3"/>
    </row>
    <row r="659" spans="2:3" x14ac:dyDescent="0.25">
      <c r="B659" s="3"/>
      <c r="C659" s="3"/>
    </row>
    <row r="660" spans="2:3" x14ac:dyDescent="0.25">
      <c r="B660" s="3"/>
      <c r="C660" s="3"/>
    </row>
    <row r="661" spans="2:3" x14ac:dyDescent="0.25">
      <c r="B661" s="3"/>
      <c r="C661" s="3"/>
    </row>
    <row r="662" spans="2:3" x14ac:dyDescent="0.25">
      <c r="B662" s="3"/>
      <c r="C662" s="3"/>
    </row>
    <row r="663" spans="2:3" x14ac:dyDescent="0.25">
      <c r="B663" s="3"/>
      <c r="C663" s="3"/>
    </row>
    <row r="664" spans="2:3" x14ac:dyDescent="0.25">
      <c r="B664" s="3"/>
      <c r="C664" s="3"/>
    </row>
    <row r="665" spans="2:3" x14ac:dyDescent="0.25">
      <c r="B665" s="3"/>
      <c r="C665" s="3"/>
    </row>
    <row r="666" spans="2:3" x14ac:dyDescent="0.25">
      <c r="B666" s="3"/>
      <c r="C666" s="3"/>
    </row>
    <row r="667" spans="2:3" x14ac:dyDescent="0.25">
      <c r="B667" s="3"/>
      <c r="C667" s="3"/>
    </row>
    <row r="668" spans="2:3" x14ac:dyDescent="0.25">
      <c r="B668" s="3"/>
      <c r="C668" s="3"/>
    </row>
    <row r="669" spans="2:3" x14ac:dyDescent="0.25">
      <c r="B669" s="3"/>
      <c r="C669" s="3"/>
    </row>
    <row r="670" spans="2:3" x14ac:dyDescent="0.25">
      <c r="B670" s="3"/>
      <c r="C670" s="3"/>
    </row>
    <row r="671" spans="2:3" x14ac:dyDescent="0.25">
      <c r="B671" s="3"/>
      <c r="C671" s="3"/>
    </row>
    <row r="672" spans="2:3" x14ac:dyDescent="0.25">
      <c r="B672" s="3"/>
      <c r="C672" s="3"/>
    </row>
    <row r="673" spans="2:3" x14ac:dyDescent="0.25">
      <c r="B673" s="3"/>
      <c r="C673" s="3"/>
    </row>
    <row r="674" spans="2:3" x14ac:dyDescent="0.25">
      <c r="B674" s="3"/>
      <c r="C674" s="3"/>
    </row>
    <row r="675" spans="2:3" x14ac:dyDescent="0.25">
      <c r="B675" s="3"/>
      <c r="C675" s="3"/>
    </row>
    <row r="676" spans="2:3" x14ac:dyDescent="0.25">
      <c r="B676" s="3"/>
      <c r="C676" s="3"/>
    </row>
    <row r="677" spans="2:3" x14ac:dyDescent="0.25">
      <c r="B677" s="3"/>
      <c r="C677" s="3"/>
    </row>
    <row r="678" spans="2:3" x14ac:dyDescent="0.25">
      <c r="B678" s="3"/>
      <c r="C678" s="3"/>
    </row>
    <row r="679" spans="2:3" x14ac:dyDescent="0.25">
      <c r="B679" s="3"/>
      <c r="C679" s="3"/>
    </row>
    <row r="680" spans="2:3" x14ac:dyDescent="0.25">
      <c r="B680" s="3"/>
      <c r="C680" s="3"/>
    </row>
    <row r="681" spans="2:3" x14ac:dyDescent="0.25">
      <c r="B681" s="3"/>
      <c r="C681" s="3"/>
    </row>
    <row r="682" spans="2:3" x14ac:dyDescent="0.25">
      <c r="B682" s="3"/>
      <c r="C682" s="3"/>
    </row>
    <row r="683" spans="2:3" x14ac:dyDescent="0.25">
      <c r="B683" s="3"/>
      <c r="C683" s="3"/>
    </row>
    <row r="684" spans="2:3" x14ac:dyDescent="0.25">
      <c r="B684" s="3"/>
      <c r="C684" s="3"/>
    </row>
    <row r="685" spans="2:3" x14ac:dyDescent="0.25">
      <c r="B685" s="3"/>
      <c r="C685" s="3"/>
    </row>
    <row r="686" spans="2:3" x14ac:dyDescent="0.25">
      <c r="B686" s="3"/>
      <c r="C686" s="3"/>
    </row>
    <row r="687" spans="2:3" x14ac:dyDescent="0.25">
      <c r="B687" s="3"/>
      <c r="C687" s="3"/>
    </row>
    <row r="688" spans="2:3" x14ac:dyDescent="0.25">
      <c r="B688" s="3"/>
      <c r="C688" s="3"/>
    </row>
    <row r="689" spans="2:3" x14ac:dyDescent="0.25">
      <c r="B689" s="3"/>
      <c r="C689" s="3"/>
    </row>
    <row r="690" spans="2:3" x14ac:dyDescent="0.25">
      <c r="B690" s="3"/>
      <c r="C690" s="3"/>
    </row>
    <row r="691" spans="2:3" x14ac:dyDescent="0.25">
      <c r="B691" s="3"/>
      <c r="C691" s="3"/>
    </row>
    <row r="692" spans="2:3" x14ac:dyDescent="0.25">
      <c r="B692" s="3"/>
      <c r="C692" s="3"/>
    </row>
    <row r="693" spans="2:3" x14ac:dyDescent="0.25">
      <c r="B693" s="3"/>
      <c r="C693" s="3"/>
    </row>
    <row r="694" spans="2:3" x14ac:dyDescent="0.25">
      <c r="B694" s="3"/>
      <c r="C694" s="3"/>
    </row>
    <row r="695" spans="2:3" x14ac:dyDescent="0.25">
      <c r="B695" s="3"/>
      <c r="C695" s="3"/>
    </row>
    <row r="696" spans="2:3" x14ac:dyDescent="0.25">
      <c r="B696" s="3"/>
      <c r="C696" s="3"/>
    </row>
    <row r="697" spans="2:3" x14ac:dyDescent="0.25">
      <c r="B697" s="3"/>
      <c r="C697" s="3"/>
    </row>
    <row r="698" spans="2:3" x14ac:dyDescent="0.25">
      <c r="B698" s="3"/>
      <c r="C698" s="3"/>
    </row>
    <row r="699" spans="2:3" x14ac:dyDescent="0.25">
      <c r="B699" s="3"/>
      <c r="C699" s="3"/>
    </row>
    <row r="700" spans="2:3" x14ac:dyDescent="0.25">
      <c r="B700" s="3"/>
      <c r="C700" s="3"/>
    </row>
    <row r="701" spans="2:3" x14ac:dyDescent="0.25">
      <c r="B701" s="3"/>
      <c r="C701" s="3"/>
    </row>
    <row r="702" spans="2:3" x14ac:dyDescent="0.25">
      <c r="B702" s="3"/>
      <c r="C702" s="3"/>
    </row>
    <row r="703" spans="2:3" x14ac:dyDescent="0.25">
      <c r="B703" s="3"/>
      <c r="C703" s="3"/>
    </row>
    <row r="704" spans="2:3" x14ac:dyDescent="0.25">
      <c r="B704" s="3"/>
      <c r="C704" s="3"/>
    </row>
    <row r="705" spans="2:3" x14ac:dyDescent="0.25">
      <c r="B705" s="3"/>
      <c r="C705" s="3"/>
    </row>
    <row r="706" spans="2:3" x14ac:dyDescent="0.25">
      <c r="B706" s="3"/>
      <c r="C706" s="3"/>
    </row>
    <row r="707" spans="2:3" x14ac:dyDescent="0.25">
      <c r="B707" s="3"/>
      <c r="C707" s="3"/>
    </row>
    <row r="708" spans="2:3" x14ac:dyDescent="0.25">
      <c r="B708" s="3"/>
      <c r="C708" s="3"/>
    </row>
    <row r="709" spans="2:3" x14ac:dyDescent="0.25">
      <c r="B709" s="3"/>
      <c r="C709" s="3"/>
    </row>
    <row r="710" spans="2:3" x14ac:dyDescent="0.25">
      <c r="B710" s="3"/>
      <c r="C710" s="3"/>
    </row>
    <row r="711" spans="2:3" x14ac:dyDescent="0.25">
      <c r="B711" s="3"/>
      <c r="C711" s="3"/>
    </row>
    <row r="712" spans="2:3" x14ac:dyDescent="0.25">
      <c r="B712" s="3"/>
      <c r="C712" s="3"/>
    </row>
    <row r="713" spans="2:3" x14ac:dyDescent="0.25">
      <c r="B713" s="3"/>
      <c r="C713" s="3"/>
    </row>
    <row r="714" spans="2:3" x14ac:dyDescent="0.25">
      <c r="B714" s="3"/>
      <c r="C714" s="3"/>
    </row>
    <row r="715" spans="2:3" x14ac:dyDescent="0.25">
      <c r="B715" s="3"/>
      <c r="C715" s="3"/>
    </row>
    <row r="716" spans="2:3" x14ac:dyDescent="0.25">
      <c r="B716" s="3"/>
      <c r="C716" s="3"/>
    </row>
    <row r="717" spans="2:3" x14ac:dyDescent="0.25">
      <c r="B717" s="3"/>
      <c r="C717" s="3"/>
    </row>
    <row r="718" spans="2:3" x14ac:dyDescent="0.25">
      <c r="B718" s="3"/>
      <c r="C718" s="3"/>
    </row>
    <row r="719" spans="2:3" x14ac:dyDescent="0.25">
      <c r="B719" s="3"/>
      <c r="C719" s="3"/>
    </row>
    <row r="720" spans="2:3" x14ac:dyDescent="0.25">
      <c r="B720" s="3"/>
      <c r="C720" s="3"/>
    </row>
    <row r="721" spans="2:3" x14ac:dyDescent="0.25">
      <c r="B721" s="3"/>
      <c r="C721" s="3"/>
    </row>
    <row r="722" spans="2:3" x14ac:dyDescent="0.25">
      <c r="B722" s="3"/>
      <c r="C722" s="3"/>
    </row>
    <row r="723" spans="2:3" x14ac:dyDescent="0.25">
      <c r="B723" s="3"/>
      <c r="C723" s="3"/>
    </row>
    <row r="724" spans="2:3" x14ac:dyDescent="0.25">
      <c r="B724" s="3"/>
      <c r="C724" s="3"/>
    </row>
    <row r="725" spans="2:3" x14ac:dyDescent="0.25">
      <c r="B725" s="3"/>
      <c r="C725" s="3"/>
    </row>
    <row r="726" spans="2:3" x14ac:dyDescent="0.25">
      <c r="B726" s="3"/>
      <c r="C726" s="3"/>
    </row>
    <row r="727" spans="2:3" x14ac:dyDescent="0.25">
      <c r="B727" s="3"/>
      <c r="C727" s="3"/>
    </row>
    <row r="728" spans="2:3" x14ac:dyDescent="0.25">
      <c r="B728" s="3"/>
      <c r="C728" s="3"/>
    </row>
    <row r="729" spans="2:3" x14ac:dyDescent="0.25">
      <c r="B729" s="3"/>
      <c r="C729" s="3"/>
    </row>
    <row r="730" spans="2:3" x14ac:dyDescent="0.25">
      <c r="B730" s="3"/>
      <c r="C730" s="3"/>
    </row>
    <row r="731" spans="2:3" x14ac:dyDescent="0.25">
      <c r="B731" s="3"/>
      <c r="C731" s="3"/>
    </row>
    <row r="732" spans="2:3" x14ac:dyDescent="0.25">
      <c r="B732" s="3"/>
      <c r="C732" s="3"/>
    </row>
    <row r="733" spans="2:3" x14ac:dyDescent="0.25">
      <c r="B733" s="3"/>
      <c r="C733" s="3"/>
    </row>
    <row r="734" spans="2:3" x14ac:dyDescent="0.25">
      <c r="B734" s="3"/>
      <c r="C734" s="3"/>
    </row>
    <row r="735" spans="2:3" x14ac:dyDescent="0.25">
      <c r="B735" s="3"/>
      <c r="C735" s="3"/>
    </row>
    <row r="736" spans="2:3" x14ac:dyDescent="0.25">
      <c r="B736" s="3"/>
      <c r="C736" s="3"/>
    </row>
    <row r="737" spans="2:3" x14ac:dyDescent="0.25">
      <c r="B737" s="3"/>
      <c r="C737" s="3"/>
    </row>
    <row r="738" spans="2:3" x14ac:dyDescent="0.25">
      <c r="B738" s="3"/>
      <c r="C738" s="3"/>
    </row>
    <row r="739" spans="2:3" x14ac:dyDescent="0.25">
      <c r="B739" s="3"/>
      <c r="C739" s="3"/>
    </row>
    <row r="740" spans="2:3" x14ac:dyDescent="0.25">
      <c r="B740" s="3"/>
      <c r="C740" s="3"/>
    </row>
    <row r="741" spans="2:3" x14ac:dyDescent="0.25">
      <c r="B741" s="3"/>
      <c r="C741" s="3"/>
    </row>
    <row r="742" spans="2:3" x14ac:dyDescent="0.25">
      <c r="B742" s="3"/>
      <c r="C742" s="3"/>
    </row>
    <row r="743" spans="2:3" x14ac:dyDescent="0.25">
      <c r="B743" s="3"/>
      <c r="C743" s="3"/>
    </row>
    <row r="744" spans="2:3" x14ac:dyDescent="0.25">
      <c r="B744" s="3"/>
      <c r="C744" s="3"/>
    </row>
    <row r="745" spans="2:3" x14ac:dyDescent="0.25">
      <c r="B745" s="3"/>
      <c r="C745" s="3"/>
    </row>
    <row r="746" spans="2:3" x14ac:dyDescent="0.25">
      <c r="B746" s="3"/>
      <c r="C746" s="3"/>
    </row>
    <row r="747" spans="2:3" x14ac:dyDescent="0.25">
      <c r="B747" s="3"/>
      <c r="C747" s="3"/>
    </row>
    <row r="748" spans="2:3" x14ac:dyDescent="0.25">
      <c r="B748" s="3"/>
      <c r="C748" s="3"/>
    </row>
    <row r="749" spans="2:3" x14ac:dyDescent="0.25">
      <c r="B749" s="3"/>
      <c r="C749" s="3"/>
    </row>
    <row r="750" spans="2:3" x14ac:dyDescent="0.25">
      <c r="B750" s="3"/>
      <c r="C750" s="3"/>
    </row>
    <row r="751" spans="2:3" x14ac:dyDescent="0.25">
      <c r="B751" s="3"/>
      <c r="C751" s="3"/>
    </row>
    <row r="752" spans="2:3" x14ac:dyDescent="0.25">
      <c r="B752" s="3"/>
      <c r="C752" s="3"/>
    </row>
    <row r="753" spans="2:3" x14ac:dyDescent="0.25">
      <c r="B753" s="3"/>
      <c r="C753" s="3"/>
    </row>
    <row r="754" spans="2:3" x14ac:dyDescent="0.25">
      <c r="B754" s="3"/>
      <c r="C754" s="3"/>
    </row>
    <row r="755" spans="2:3" x14ac:dyDescent="0.25">
      <c r="B755" s="3"/>
      <c r="C755" s="3"/>
    </row>
    <row r="756" spans="2:3" x14ac:dyDescent="0.25">
      <c r="B756" s="3"/>
      <c r="C756" s="3"/>
    </row>
    <row r="757" spans="2:3" x14ac:dyDescent="0.25">
      <c r="B757" s="3"/>
      <c r="C757" s="3"/>
    </row>
    <row r="758" spans="2:3" x14ac:dyDescent="0.25">
      <c r="B758" s="3"/>
      <c r="C758" s="3"/>
    </row>
    <row r="759" spans="2:3" x14ac:dyDescent="0.25">
      <c r="B759" s="3"/>
      <c r="C759" s="3"/>
    </row>
    <row r="760" spans="2:3" x14ac:dyDescent="0.25">
      <c r="B760" s="3"/>
      <c r="C760" s="3"/>
    </row>
    <row r="761" spans="2:3" x14ac:dyDescent="0.25">
      <c r="B761" s="3"/>
      <c r="C761" s="3"/>
    </row>
    <row r="762" spans="2:3" x14ac:dyDescent="0.25">
      <c r="B762" s="3"/>
      <c r="C762" s="3"/>
    </row>
    <row r="763" spans="2:3" x14ac:dyDescent="0.25">
      <c r="B763" s="3"/>
      <c r="C763" s="3"/>
    </row>
    <row r="764" spans="2:3" x14ac:dyDescent="0.25">
      <c r="B764" s="3"/>
      <c r="C764" s="3"/>
    </row>
    <row r="765" spans="2:3" x14ac:dyDescent="0.25">
      <c r="B765" s="3"/>
      <c r="C765" s="3"/>
    </row>
    <row r="766" spans="2:3" x14ac:dyDescent="0.25">
      <c r="B766" s="3"/>
      <c r="C766" s="3"/>
    </row>
    <row r="767" spans="2:3" x14ac:dyDescent="0.25">
      <c r="B767" s="3"/>
      <c r="C767" s="3"/>
    </row>
    <row r="768" spans="2:3" x14ac:dyDescent="0.25">
      <c r="B768" s="3"/>
      <c r="C768" s="3"/>
    </row>
    <row r="769" spans="2:3" x14ac:dyDescent="0.25">
      <c r="B769" s="3"/>
      <c r="C769" s="3"/>
    </row>
    <row r="770" spans="2:3" x14ac:dyDescent="0.25">
      <c r="B770" s="3"/>
      <c r="C770" s="3"/>
    </row>
    <row r="771" spans="2:3" x14ac:dyDescent="0.25">
      <c r="B771" s="3"/>
      <c r="C771" s="3"/>
    </row>
    <row r="772" spans="2:3" x14ac:dyDescent="0.25">
      <c r="B772" s="3"/>
      <c r="C772" s="3"/>
    </row>
    <row r="773" spans="2:3" x14ac:dyDescent="0.25">
      <c r="B773" s="3"/>
      <c r="C773" s="3"/>
    </row>
    <row r="774" spans="2:3" x14ac:dyDescent="0.25">
      <c r="B774" s="3"/>
      <c r="C774" s="3"/>
    </row>
    <row r="775" spans="2:3" x14ac:dyDescent="0.25">
      <c r="B775" s="3"/>
      <c r="C775" s="3"/>
    </row>
    <row r="776" spans="2:3" x14ac:dyDescent="0.25">
      <c r="B776" s="3"/>
      <c r="C776" s="3"/>
    </row>
    <row r="777" spans="2:3" x14ac:dyDescent="0.25">
      <c r="B777" s="3"/>
      <c r="C777" s="3"/>
    </row>
    <row r="778" spans="2:3" x14ac:dyDescent="0.25">
      <c r="B778" s="3"/>
      <c r="C778" s="3"/>
    </row>
    <row r="779" spans="2:3" x14ac:dyDescent="0.25">
      <c r="B779" s="3"/>
      <c r="C779" s="3"/>
    </row>
    <row r="780" spans="2:3" x14ac:dyDescent="0.25">
      <c r="B780" s="3"/>
      <c r="C780" s="3"/>
    </row>
    <row r="781" spans="2:3" x14ac:dyDescent="0.25">
      <c r="B781" s="3"/>
      <c r="C781" s="3"/>
    </row>
    <row r="782" spans="2:3" x14ac:dyDescent="0.25">
      <c r="B782" s="3"/>
      <c r="C782" s="3"/>
    </row>
    <row r="783" spans="2:3" x14ac:dyDescent="0.25">
      <c r="B783" s="3"/>
      <c r="C783" s="3"/>
    </row>
    <row r="784" spans="2:3" x14ac:dyDescent="0.25">
      <c r="B784" s="3"/>
      <c r="C784" s="3"/>
    </row>
    <row r="785" spans="2:3" x14ac:dyDescent="0.25">
      <c r="B785" s="3"/>
      <c r="C785" s="3"/>
    </row>
    <row r="786" spans="2:3" x14ac:dyDescent="0.25">
      <c r="B786" s="3"/>
      <c r="C786" s="3"/>
    </row>
    <row r="787" spans="2:3" x14ac:dyDescent="0.25">
      <c r="B787" s="3"/>
      <c r="C787" s="3"/>
    </row>
    <row r="788" spans="2:3" x14ac:dyDescent="0.25">
      <c r="B788" s="3"/>
      <c r="C788" s="3"/>
    </row>
    <row r="789" spans="2:3" x14ac:dyDescent="0.25">
      <c r="B789" s="3"/>
      <c r="C789" s="3"/>
    </row>
    <row r="790" spans="2:3" x14ac:dyDescent="0.25">
      <c r="B790" s="3"/>
      <c r="C790" s="3"/>
    </row>
    <row r="791" spans="2:3" x14ac:dyDescent="0.25">
      <c r="B791" s="3"/>
      <c r="C791" s="3"/>
    </row>
    <row r="792" spans="2:3" x14ac:dyDescent="0.25">
      <c r="B792" s="3"/>
      <c r="C792" s="3"/>
    </row>
    <row r="793" spans="2:3" x14ac:dyDescent="0.25">
      <c r="B793" s="3"/>
      <c r="C793" s="3"/>
    </row>
    <row r="794" spans="2:3" x14ac:dyDescent="0.25">
      <c r="B794" s="3"/>
      <c r="C794" s="3"/>
    </row>
    <row r="795" spans="2:3" x14ac:dyDescent="0.25">
      <c r="B795" s="3"/>
      <c r="C795" s="3"/>
    </row>
    <row r="796" spans="2:3" x14ac:dyDescent="0.25">
      <c r="B796" s="3"/>
      <c r="C796" s="3"/>
    </row>
    <row r="797" spans="2:3" x14ac:dyDescent="0.25">
      <c r="B797" s="3"/>
      <c r="C797" s="3"/>
    </row>
    <row r="798" spans="2:3" x14ac:dyDescent="0.25">
      <c r="B798" s="3"/>
      <c r="C798" s="3"/>
    </row>
    <row r="799" spans="2:3" x14ac:dyDescent="0.25">
      <c r="B799" s="3"/>
      <c r="C799" s="3"/>
    </row>
    <row r="800" spans="2:3" x14ac:dyDescent="0.25">
      <c r="B800" s="3"/>
      <c r="C800" s="3"/>
    </row>
    <row r="801" spans="2:3" x14ac:dyDescent="0.25">
      <c r="B801" s="3"/>
      <c r="C801" s="3"/>
    </row>
    <row r="802" spans="2:3" x14ac:dyDescent="0.25">
      <c r="B802" s="3"/>
      <c r="C802" s="3"/>
    </row>
    <row r="803" spans="2:3" x14ac:dyDescent="0.25">
      <c r="B803" s="3"/>
      <c r="C803" s="3"/>
    </row>
    <row r="804" spans="2:3" x14ac:dyDescent="0.25">
      <c r="B804" s="3"/>
      <c r="C804" s="3"/>
    </row>
    <row r="805" spans="2:3" x14ac:dyDescent="0.25">
      <c r="B805" s="3"/>
      <c r="C805" s="3"/>
    </row>
    <row r="806" spans="2:3" x14ac:dyDescent="0.25">
      <c r="B806" s="3"/>
      <c r="C806" s="3"/>
    </row>
    <row r="807" spans="2:3" x14ac:dyDescent="0.25">
      <c r="B807" s="3"/>
      <c r="C807" s="3"/>
    </row>
    <row r="808" spans="2:3" x14ac:dyDescent="0.25">
      <c r="B808" s="3"/>
      <c r="C808" s="3"/>
    </row>
    <row r="809" spans="2:3" x14ac:dyDescent="0.25">
      <c r="B809" s="3"/>
      <c r="C809" s="3"/>
    </row>
    <row r="810" spans="2:3" x14ac:dyDescent="0.25">
      <c r="B810" s="3"/>
      <c r="C810" s="3"/>
    </row>
    <row r="811" spans="2:3" x14ac:dyDescent="0.25">
      <c r="B811" s="3"/>
      <c r="C811" s="3"/>
    </row>
    <row r="812" spans="2:3" x14ac:dyDescent="0.25">
      <c r="B812" s="3"/>
      <c r="C812" s="3"/>
    </row>
    <row r="813" spans="2:3" x14ac:dyDescent="0.25">
      <c r="B813" s="3"/>
      <c r="C813" s="3"/>
    </row>
    <row r="814" spans="2:3" x14ac:dyDescent="0.25">
      <c r="B814" s="3"/>
      <c r="C814" s="3"/>
    </row>
    <row r="815" spans="2:3" x14ac:dyDescent="0.25">
      <c r="B815" s="3"/>
      <c r="C815" s="3"/>
    </row>
    <row r="816" spans="2:3" x14ac:dyDescent="0.25">
      <c r="B816" s="3"/>
      <c r="C816" s="3"/>
    </row>
    <row r="817" spans="2:3" x14ac:dyDescent="0.25">
      <c r="B817" s="3"/>
      <c r="C817" s="3"/>
    </row>
    <row r="818" spans="2:3" x14ac:dyDescent="0.25">
      <c r="B818" s="3"/>
      <c r="C818" s="3"/>
    </row>
    <row r="819" spans="2:3" x14ac:dyDescent="0.25">
      <c r="B819" s="3"/>
      <c r="C819" s="3"/>
    </row>
    <row r="820" spans="2:3" x14ac:dyDescent="0.25">
      <c r="B820" s="3"/>
      <c r="C820" s="3"/>
    </row>
    <row r="821" spans="2:3" x14ac:dyDescent="0.25">
      <c r="B821" s="3"/>
      <c r="C821" s="3"/>
    </row>
    <row r="822" spans="2:3" x14ac:dyDescent="0.25">
      <c r="B822" s="3"/>
      <c r="C822" s="3"/>
    </row>
    <row r="823" spans="2:3" x14ac:dyDescent="0.25">
      <c r="B823" s="3"/>
      <c r="C823" s="3"/>
    </row>
    <row r="824" spans="2:3" x14ac:dyDescent="0.25">
      <c r="B824" s="3"/>
      <c r="C824" s="3"/>
    </row>
    <row r="825" spans="2:3" x14ac:dyDescent="0.25">
      <c r="B825" s="3"/>
      <c r="C825" s="3"/>
    </row>
    <row r="826" spans="2:3" x14ac:dyDescent="0.25">
      <c r="B826" s="3"/>
      <c r="C826" s="3"/>
    </row>
    <row r="827" spans="2:3" x14ac:dyDescent="0.25">
      <c r="B827" s="3"/>
      <c r="C827" s="3"/>
    </row>
    <row r="828" spans="2:3" x14ac:dyDescent="0.25">
      <c r="B828" s="3"/>
      <c r="C828" s="3"/>
    </row>
    <row r="829" spans="2:3" x14ac:dyDescent="0.25">
      <c r="B829" s="3"/>
      <c r="C829" s="3"/>
    </row>
    <row r="830" spans="2:3" x14ac:dyDescent="0.25">
      <c r="B830" s="3"/>
      <c r="C830" s="3"/>
    </row>
    <row r="831" spans="2:3" x14ac:dyDescent="0.25">
      <c r="B831" s="3"/>
      <c r="C831" s="3"/>
    </row>
    <row r="832" spans="2:3" x14ac:dyDescent="0.25">
      <c r="B832" s="3"/>
      <c r="C832" s="3"/>
    </row>
    <row r="833" spans="2:3" x14ac:dyDescent="0.25">
      <c r="B833" s="3"/>
      <c r="C833" s="3"/>
    </row>
    <row r="834" spans="2:3" x14ac:dyDescent="0.25">
      <c r="B834" s="3"/>
      <c r="C834" s="3"/>
    </row>
    <row r="835" spans="2:3" x14ac:dyDescent="0.25">
      <c r="B835" s="3"/>
      <c r="C835" s="3"/>
    </row>
    <row r="836" spans="2:3" x14ac:dyDescent="0.25">
      <c r="B836" s="3"/>
      <c r="C836" s="3"/>
    </row>
    <row r="837" spans="2:3" x14ac:dyDescent="0.25">
      <c r="B837" s="3"/>
      <c r="C837" s="3"/>
    </row>
    <row r="838" spans="2:3" x14ac:dyDescent="0.25">
      <c r="B838" s="3"/>
      <c r="C838" s="3"/>
    </row>
    <row r="839" spans="2:3" x14ac:dyDescent="0.25">
      <c r="B839" s="3"/>
      <c r="C839" s="3"/>
    </row>
    <row r="840" spans="2:3" x14ac:dyDescent="0.25">
      <c r="B840" s="3"/>
      <c r="C840" s="3"/>
    </row>
    <row r="841" spans="2:3" x14ac:dyDescent="0.25">
      <c r="B841" s="3"/>
      <c r="C841" s="3"/>
    </row>
    <row r="842" spans="2:3" x14ac:dyDescent="0.25">
      <c r="B842" s="3"/>
      <c r="C842" s="3"/>
    </row>
    <row r="843" spans="2:3" x14ac:dyDescent="0.25">
      <c r="B843" s="3"/>
      <c r="C843" s="3"/>
    </row>
    <row r="844" spans="2:3" x14ac:dyDescent="0.25">
      <c r="B844" s="3"/>
      <c r="C844" s="3"/>
    </row>
    <row r="845" spans="2:3" x14ac:dyDescent="0.25">
      <c r="B845" s="3"/>
      <c r="C845" s="3"/>
    </row>
    <row r="846" spans="2:3" x14ac:dyDescent="0.25">
      <c r="B846" s="3"/>
      <c r="C846" s="3"/>
    </row>
    <row r="847" spans="2:3" x14ac:dyDescent="0.25">
      <c r="B847" s="3"/>
      <c r="C847" s="3"/>
    </row>
    <row r="848" spans="2:3" x14ac:dyDescent="0.25">
      <c r="B848" s="3"/>
      <c r="C848" s="3"/>
    </row>
    <row r="849" spans="2:3" x14ac:dyDescent="0.25">
      <c r="B849" s="3"/>
      <c r="C849" s="3"/>
    </row>
    <row r="850" spans="2:3" x14ac:dyDescent="0.25">
      <c r="B850" s="3"/>
      <c r="C850" s="3"/>
    </row>
    <row r="851" spans="2:3" x14ac:dyDescent="0.25">
      <c r="B851" s="3"/>
      <c r="C851" s="3"/>
    </row>
    <row r="852" spans="2:3" x14ac:dyDescent="0.25">
      <c r="B852" s="3"/>
      <c r="C852" s="3"/>
    </row>
    <row r="853" spans="2:3" x14ac:dyDescent="0.25">
      <c r="B853" s="3"/>
      <c r="C853" s="3"/>
    </row>
    <row r="854" spans="2:3" x14ac:dyDescent="0.25">
      <c r="B854" s="3"/>
      <c r="C854" s="3"/>
    </row>
    <row r="855" spans="2:3" x14ac:dyDescent="0.25">
      <c r="B855" s="3"/>
      <c r="C855" s="3"/>
    </row>
    <row r="856" spans="2:3" x14ac:dyDescent="0.25">
      <c r="B856" s="3"/>
      <c r="C856" s="3"/>
    </row>
    <row r="857" spans="2:3" x14ac:dyDescent="0.25">
      <c r="B857" s="3"/>
      <c r="C857" s="3"/>
    </row>
    <row r="858" spans="2:3" x14ac:dyDescent="0.25">
      <c r="B858" s="3"/>
      <c r="C858" s="3"/>
    </row>
    <row r="859" spans="2:3" x14ac:dyDescent="0.25">
      <c r="B859" s="3"/>
      <c r="C859" s="3"/>
    </row>
    <row r="860" spans="2:3" x14ac:dyDescent="0.25">
      <c r="B860" s="3"/>
      <c r="C860" s="3"/>
    </row>
    <row r="861" spans="2:3" x14ac:dyDescent="0.25">
      <c r="B861" s="3"/>
      <c r="C861" s="3"/>
    </row>
    <row r="862" spans="2:3" x14ac:dyDescent="0.25">
      <c r="B862" s="3"/>
      <c r="C862" s="3"/>
    </row>
    <row r="863" spans="2:3" x14ac:dyDescent="0.25">
      <c r="B863" s="3"/>
      <c r="C863" s="3"/>
    </row>
    <row r="864" spans="2:3" x14ac:dyDescent="0.25">
      <c r="B864" s="3"/>
      <c r="C864" s="3"/>
    </row>
    <row r="865" spans="2:3" x14ac:dyDescent="0.25">
      <c r="B865" s="3"/>
      <c r="C865" s="3"/>
    </row>
    <row r="866" spans="2:3" x14ac:dyDescent="0.25">
      <c r="B866" s="3"/>
      <c r="C866" s="3"/>
    </row>
    <row r="867" spans="2:3" x14ac:dyDescent="0.25">
      <c r="B867" s="3"/>
      <c r="C867" s="3"/>
    </row>
    <row r="868" spans="2:3" x14ac:dyDescent="0.25">
      <c r="B868" s="3"/>
      <c r="C868" s="3"/>
    </row>
    <row r="869" spans="2:3" x14ac:dyDescent="0.25">
      <c r="B869" s="3"/>
      <c r="C869" s="3"/>
    </row>
    <row r="870" spans="2:3" x14ac:dyDescent="0.25">
      <c r="B870" s="3"/>
      <c r="C870" s="3"/>
    </row>
    <row r="871" spans="2:3" x14ac:dyDescent="0.25">
      <c r="B871" s="3"/>
      <c r="C871" s="3"/>
    </row>
    <row r="872" spans="2:3" x14ac:dyDescent="0.25">
      <c r="B872" s="3"/>
      <c r="C872" s="3"/>
    </row>
    <row r="873" spans="2:3" x14ac:dyDescent="0.25">
      <c r="B873" s="3"/>
      <c r="C873" s="3"/>
    </row>
    <row r="874" spans="2:3" x14ac:dyDescent="0.25">
      <c r="B874" s="3"/>
      <c r="C874" s="3"/>
    </row>
    <row r="875" spans="2:3" x14ac:dyDescent="0.25">
      <c r="B875" s="3"/>
      <c r="C875" s="3"/>
    </row>
    <row r="876" spans="2:3" x14ac:dyDescent="0.25">
      <c r="B876" s="3"/>
      <c r="C876" s="3"/>
    </row>
    <row r="877" spans="2:3" x14ac:dyDescent="0.25">
      <c r="B877" s="3"/>
      <c r="C877" s="3"/>
    </row>
    <row r="878" spans="2:3" x14ac:dyDescent="0.25">
      <c r="B878" s="3"/>
      <c r="C878" s="3"/>
    </row>
    <row r="879" spans="2:3" x14ac:dyDescent="0.25">
      <c r="B879" s="3"/>
      <c r="C879" s="3"/>
    </row>
    <row r="880" spans="2:3" x14ac:dyDescent="0.25">
      <c r="B880" s="3"/>
      <c r="C880" s="3"/>
    </row>
    <row r="881" spans="2:3" x14ac:dyDescent="0.25">
      <c r="B881" s="3"/>
      <c r="C881" s="3"/>
    </row>
    <row r="882" spans="2:3" x14ac:dyDescent="0.25">
      <c r="B882" s="3"/>
      <c r="C882" s="3"/>
    </row>
    <row r="883" spans="2:3" x14ac:dyDescent="0.25">
      <c r="B883" s="3"/>
      <c r="C883" s="3"/>
    </row>
    <row r="884" spans="2:3" x14ac:dyDescent="0.25">
      <c r="B884" s="3"/>
      <c r="C884" s="3"/>
    </row>
    <row r="885" spans="2:3" x14ac:dyDescent="0.25">
      <c r="B885" s="3"/>
      <c r="C885" s="3"/>
    </row>
    <row r="886" spans="2:3" x14ac:dyDescent="0.25">
      <c r="B886" s="3"/>
      <c r="C886" s="3"/>
    </row>
    <row r="887" spans="2:3" x14ac:dyDescent="0.25">
      <c r="B887" s="3"/>
      <c r="C887" s="3"/>
    </row>
    <row r="888" spans="2:3" x14ac:dyDescent="0.25">
      <c r="B888" s="3"/>
      <c r="C888" s="3"/>
    </row>
    <row r="889" spans="2:3" x14ac:dyDescent="0.25">
      <c r="B889" s="3"/>
      <c r="C889" s="3"/>
    </row>
    <row r="890" spans="2:3" x14ac:dyDescent="0.25">
      <c r="B890" s="3"/>
      <c r="C890" s="3"/>
    </row>
    <row r="891" spans="2:3" x14ac:dyDescent="0.25">
      <c r="B891" s="3"/>
      <c r="C891" s="3"/>
    </row>
    <row r="892" spans="2:3" x14ac:dyDescent="0.25">
      <c r="B892" s="3"/>
      <c r="C892" s="3"/>
    </row>
    <row r="893" spans="2:3" x14ac:dyDescent="0.25">
      <c r="B893" s="3"/>
      <c r="C893" s="3"/>
    </row>
    <row r="894" spans="2:3" x14ac:dyDescent="0.25">
      <c r="B894" s="3"/>
      <c r="C894" s="3"/>
    </row>
    <row r="895" spans="2:3" x14ac:dyDescent="0.25">
      <c r="B895" s="3"/>
      <c r="C895" s="3"/>
    </row>
    <row r="896" spans="2:3" x14ac:dyDescent="0.25">
      <c r="B896" s="3"/>
      <c r="C896" s="3"/>
    </row>
    <row r="897" spans="2:3" x14ac:dyDescent="0.25">
      <c r="B897" s="3"/>
      <c r="C897" s="3"/>
    </row>
    <row r="898" spans="2:3" x14ac:dyDescent="0.25">
      <c r="B898" s="3"/>
      <c r="C898" s="3"/>
    </row>
    <row r="899" spans="2:3" x14ac:dyDescent="0.25">
      <c r="B899" s="3"/>
      <c r="C899" s="3"/>
    </row>
    <row r="900" spans="2:3" x14ac:dyDescent="0.25">
      <c r="B900" s="3"/>
      <c r="C900" s="3"/>
    </row>
    <row r="901" spans="2:3" x14ac:dyDescent="0.25">
      <c r="B901" s="3"/>
      <c r="C901" s="3"/>
    </row>
    <row r="902" spans="2:3" x14ac:dyDescent="0.25">
      <c r="B902" s="3"/>
      <c r="C902" s="3"/>
    </row>
    <row r="903" spans="2:3" x14ac:dyDescent="0.25">
      <c r="B903" s="3"/>
      <c r="C903" s="3"/>
    </row>
    <row r="904" spans="2:3" x14ac:dyDescent="0.25">
      <c r="B904" s="3"/>
      <c r="C904" s="3"/>
    </row>
    <row r="905" spans="2:3" x14ac:dyDescent="0.25">
      <c r="B905" s="3"/>
      <c r="C905" s="3"/>
    </row>
    <row r="906" spans="2:3" x14ac:dyDescent="0.25">
      <c r="B906" s="3"/>
      <c r="C906" s="3"/>
    </row>
    <row r="907" spans="2:3" x14ac:dyDescent="0.25">
      <c r="B907" s="3"/>
      <c r="C907" s="3"/>
    </row>
    <row r="908" spans="2:3" x14ac:dyDescent="0.25">
      <c r="B908" s="3"/>
      <c r="C908" s="3"/>
    </row>
    <row r="909" spans="2:3" x14ac:dyDescent="0.25">
      <c r="B909" s="3"/>
      <c r="C909" s="3"/>
    </row>
    <row r="910" spans="2:3" x14ac:dyDescent="0.25">
      <c r="B910" s="3"/>
      <c r="C910" s="3"/>
    </row>
    <row r="911" spans="2:3" x14ac:dyDescent="0.25">
      <c r="B911" s="3"/>
      <c r="C911" s="3"/>
    </row>
    <row r="912" spans="2:3" x14ac:dyDescent="0.25">
      <c r="B912" s="3"/>
      <c r="C912" s="3"/>
    </row>
    <row r="913" spans="2:3" x14ac:dyDescent="0.25">
      <c r="B913" s="3"/>
      <c r="C913" s="3"/>
    </row>
    <row r="914" spans="2:3" x14ac:dyDescent="0.25">
      <c r="B914" s="3"/>
      <c r="C914" s="3"/>
    </row>
    <row r="915" spans="2:3" x14ac:dyDescent="0.25">
      <c r="B915" s="3"/>
      <c r="C915" s="3"/>
    </row>
    <row r="916" spans="2:3" x14ac:dyDescent="0.25">
      <c r="B916" s="3"/>
      <c r="C916" s="3"/>
    </row>
    <row r="917" spans="2:3" x14ac:dyDescent="0.25">
      <c r="B917" s="3"/>
      <c r="C917" s="3"/>
    </row>
    <row r="918" spans="2:3" x14ac:dyDescent="0.25">
      <c r="B918" s="3"/>
      <c r="C918" s="3"/>
    </row>
    <row r="919" spans="2:3" x14ac:dyDescent="0.25">
      <c r="B919" s="3"/>
      <c r="C919" s="3"/>
    </row>
    <row r="920" spans="2:3" x14ac:dyDescent="0.25">
      <c r="B920" s="3"/>
      <c r="C920" s="3"/>
    </row>
    <row r="921" spans="2:3" x14ac:dyDescent="0.25">
      <c r="B921" s="3"/>
      <c r="C921" s="3"/>
    </row>
    <row r="922" spans="2:3" x14ac:dyDescent="0.25">
      <c r="B922" s="3"/>
      <c r="C922" s="3"/>
    </row>
    <row r="923" spans="2:3" x14ac:dyDescent="0.25">
      <c r="B923" s="3"/>
      <c r="C923" s="3"/>
    </row>
    <row r="924" spans="2:3" x14ac:dyDescent="0.25">
      <c r="B924" s="3"/>
      <c r="C924" s="3"/>
    </row>
    <row r="925" spans="2:3" x14ac:dyDescent="0.25">
      <c r="B925" s="3"/>
      <c r="C925" s="3"/>
    </row>
    <row r="926" spans="2:3" x14ac:dyDescent="0.25">
      <c r="B926" s="3"/>
      <c r="C926" s="3"/>
    </row>
    <row r="927" spans="2:3" x14ac:dyDescent="0.25">
      <c r="B927" s="3"/>
      <c r="C927" s="3"/>
    </row>
    <row r="928" spans="2:3" x14ac:dyDescent="0.25">
      <c r="B928" s="3"/>
      <c r="C928" s="3"/>
    </row>
    <row r="929" spans="2:3" x14ac:dyDescent="0.25">
      <c r="B929" s="3"/>
      <c r="C929" s="3"/>
    </row>
    <row r="930" spans="2:3" x14ac:dyDescent="0.25">
      <c r="B930" s="3"/>
      <c r="C930" s="3"/>
    </row>
    <row r="931" spans="2:3" x14ac:dyDescent="0.25">
      <c r="B931" s="3"/>
      <c r="C931" s="3"/>
    </row>
    <row r="932" spans="2:3" x14ac:dyDescent="0.25">
      <c r="B932" s="3"/>
      <c r="C932" s="3"/>
    </row>
    <row r="933" spans="2:3" x14ac:dyDescent="0.25">
      <c r="B933" s="3"/>
      <c r="C933" s="3"/>
    </row>
    <row r="934" spans="2:3" x14ac:dyDescent="0.25">
      <c r="B934" s="3"/>
      <c r="C934" s="3"/>
    </row>
    <row r="935" spans="2:3" x14ac:dyDescent="0.25">
      <c r="B935" s="3"/>
      <c r="C935" s="3"/>
    </row>
    <row r="936" spans="2:3" x14ac:dyDescent="0.25">
      <c r="B936" s="3"/>
      <c r="C936" s="3"/>
    </row>
    <row r="937" spans="2:3" x14ac:dyDescent="0.25">
      <c r="B937" s="3"/>
      <c r="C937" s="3"/>
    </row>
    <row r="938" spans="2:3" x14ac:dyDescent="0.25">
      <c r="B938" s="3"/>
      <c r="C938" s="3"/>
    </row>
    <row r="939" spans="2:3" x14ac:dyDescent="0.25">
      <c r="B939" s="3"/>
      <c r="C939" s="3"/>
    </row>
    <row r="940" spans="2:3" x14ac:dyDescent="0.25">
      <c r="B940" s="3"/>
      <c r="C940" s="3"/>
    </row>
    <row r="941" spans="2:3" x14ac:dyDescent="0.25">
      <c r="B941" s="3"/>
      <c r="C941" s="3"/>
    </row>
    <row r="942" spans="2:3" x14ac:dyDescent="0.25">
      <c r="B942" s="3"/>
      <c r="C942" s="3"/>
    </row>
    <row r="943" spans="2:3" x14ac:dyDescent="0.25">
      <c r="B943" s="3"/>
      <c r="C943" s="3"/>
    </row>
    <row r="944" spans="2:3" x14ac:dyDescent="0.25">
      <c r="B944" s="3"/>
      <c r="C944" s="3"/>
    </row>
    <row r="945" spans="2:3" x14ac:dyDescent="0.25">
      <c r="B945" s="3"/>
      <c r="C945" s="3"/>
    </row>
    <row r="946" spans="2:3" x14ac:dyDescent="0.25">
      <c r="B946" s="3"/>
      <c r="C946" s="3"/>
    </row>
    <row r="947" spans="2:3" x14ac:dyDescent="0.25">
      <c r="B947" s="3"/>
      <c r="C947" s="3"/>
    </row>
    <row r="948" spans="2:3" x14ac:dyDescent="0.25">
      <c r="B948" s="3"/>
      <c r="C948" s="3"/>
    </row>
    <row r="949" spans="2:3" x14ac:dyDescent="0.25">
      <c r="B949" s="3"/>
      <c r="C949" s="3"/>
    </row>
    <row r="950" spans="2:3" x14ac:dyDescent="0.25">
      <c r="B950" s="3"/>
      <c r="C950" s="3"/>
    </row>
    <row r="951" spans="2:3" x14ac:dyDescent="0.25">
      <c r="B951" s="3"/>
      <c r="C951" s="3"/>
    </row>
    <row r="952" spans="2:3" x14ac:dyDescent="0.25">
      <c r="B952" s="3"/>
      <c r="C952" s="3"/>
    </row>
    <row r="953" spans="2:3" x14ac:dyDescent="0.25">
      <c r="B953" s="3"/>
      <c r="C953" s="3"/>
    </row>
    <row r="954" spans="2:3" x14ac:dyDescent="0.25">
      <c r="B954" s="3"/>
      <c r="C954" s="3"/>
    </row>
    <row r="955" spans="2:3" x14ac:dyDescent="0.25">
      <c r="B955" s="3"/>
      <c r="C955" s="3"/>
    </row>
    <row r="956" spans="2:3" x14ac:dyDescent="0.25">
      <c r="B956" s="3"/>
      <c r="C956" s="3"/>
    </row>
    <row r="957" spans="2:3" x14ac:dyDescent="0.25">
      <c r="B957" s="3"/>
      <c r="C957" s="3"/>
    </row>
    <row r="958" spans="2:3" x14ac:dyDescent="0.25">
      <c r="B958" s="3"/>
      <c r="C958" s="3"/>
    </row>
    <row r="959" spans="2:3" x14ac:dyDescent="0.25">
      <c r="B959" s="3"/>
      <c r="C959" s="3"/>
    </row>
    <row r="960" spans="2:3" x14ac:dyDescent="0.25">
      <c r="B960" s="3"/>
      <c r="C960" s="3"/>
    </row>
    <row r="961" spans="2:3" x14ac:dyDescent="0.25">
      <c r="B961" s="3"/>
      <c r="C961" s="3"/>
    </row>
    <row r="962" spans="2:3" x14ac:dyDescent="0.25">
      <c r="B962" s="3"/>
      <c r="C962" s="3"/>
    </row>
    <row r="963" spans="2:3" x14ac:dyDescent="0.25">
      <c r="B963" s="3"/>
      <c r="C963" s="3"/>
    </row>
    <row r="964" spans="2:3" x14ac:dyDescent="0.25">
      <c r="B964" s="3"/>
      <c r="C964" s="3"/>
    </row>
    <row r="965" spans="2:3" x14ac:dyDescent="0.25">
      <c r="B965" s="3"/>
      <c r="C965" s="3"/>
    </row>
    <row r="966" spans="2:3" x14ac:dyDescent="0.25">
      <c r="B966" s="3"/>
      <c r="C966" s="3"/>
    </row>
    <row r="967" spans="2:3" x14ac:dyDescent="0.25">
      <c r="B967" s="3"/>
      <c r="C967" s="3"/>
    </row>
    <row r="968" spans="2:3" x14ac:dyDescent="0.25">
      <c r="B968" s="3"/>
      <c r="C968" s="3"/>
    </row>
    <row r="969" spans="2:3" x14ac:dyDescent="0.25">
      <c r="B969" s="3"/>
      <c r="C969" s="3"/>
    </row>
    <row r="970" spans="2:3" x14ac:dyDescent="0.25">
      <c r="B970" s="3"/>
      <c r="C970" s="3"/>
    </row>
    <row r="971" spans="2:3" x14ac:dyDescent="0.25">
      <c r="B971" s="3"/>
      <c r="C971" s="3"/>
    </row>
    <row r="972" spans="2:3" x14ac:dyDescent="0.25">
      <c r="B972" s="3"/>
      <c r="C972" s="3"/>
    </row>
    <row r="973" spans="2:3" x14ac:dyDescent="0.25">
      <c r="B973" s="3"/>
      <c r="C973" s="3"/>
    </row>
    <row r="974" spans="2:3" x14ac:dyDescent="0.25">
      <c r="B974" s="3"/>
      <c r="C974" s="3"/>
    </row>
    <row r="975" spans="2:3" x14ac:dyDescent="0.25">
      <c r="B975" s="3"/>
      <c r="C975" s="3"/>
    </row>
    <row r="976" spans="2:3" x14ac:dyDescent="0.25">
      <c r="B976" s="3"/>
      <c r="C976" s="3"/>
    </row>
    <row r="977" spans="2:3" x14ac:dyDescent="0.25">
      <c r="B977" s="3"/>
      <c r="C977" s="3"/>
    </row>
    <row r="978" spans="2:3" x14ac:dyDescent="0.25">
      <c r="B978" s="3"/>
      <c r="C978" s="3"/>
    </row>
    <row r="979" spans="2:3" x14ac:dyDescent="0.25">
      <c r="B979" s="3"/>
      <c r="C979" s="3"/>
    </row>
    <row r="980" spans="2:3" x14ac:dyDescent="0.25">
      <c r="B980" s="3"/>
      <c r="C980" s="3"/>
    </row>
    <row r="981" spans="2:3" x14ac:dyDescent="0.25">
      <c r="B981" s="3"/>
      <c r="C981" s="3"/>
    </row>
    <row r="982" spans="2:3" x14ac:dyDescent="0.25">
      <c r="B982" s="3"/>
      <c r="C982" s="3"/>
    </row>
    <row r="983" spans="2:3" x14ac:dyDescent="0.25">
      <c r="B983" s="3"/>
      <c r="C983" s="3"/>
    </row>
    <row r="984" spans="2:3" x14ac:dyDescent="0.25">
      <c r="B984" s="3"/>
      <c r="C984" s="3"/>
    </row>
    <row r="985" spans="2:3" x14ac:dyDescent="0.25">
      <c r="B985" s="3"/>
      <c r="C985" s="3"/>
    </row>
    <row r="986" spans="2:3" x14ac:dyDescent="0.25">
      <c r="B986" s="3"/>
      <c r="C986" s="3"/>
    </row>
    <row r="987" spans="2:3" x14ac:dyDescent="0.25">
      <c r="B987" s="3"/>
      <c r="C987" s="3"/>
    </row>
    <row r="988" spans="2:3" x14ac:dyDescent="0.25">
      <c r="B988" s="3"/>
      <c r="C988" s="3"/>
    </row>
    <row r="989" spans="2:3" x14ac:dyDescent="0.25">
      <c r="B989" s="3"/>
      <c r="C989" s="3"/>
    </row>
    <row r="990" spans="2:3" x14ac:dyDescent="0.25">
      <c r="B990" s="3"/>
      <c r="C990" s="3"/>
    </row>
    <row r="991" spans="2:3" x14ac:dyDescent="0.25">
      <c r="B991" s="3"/>
      <c r="C991" s="3"/>
    </row>
    <row r="992" spans="2:3" x14ac:dyDescent="0.25">
      <c r="B992" s="3"/>
      <c r="C992" s="3"/>
    </row>
    <row r="993" spans="2:3" x14ac:dyDescent="0.25">
      <c r="B993" s="3"/>
      <c r="C993" s="3"/>
    </row>
    <row r="994" spans="2:3" x14ac:dyDescent="0.25">
      <c r="B994" s="3"/>
      <c r="C994" s="3"/>
    </row>
    <row r="995" spans="2:3" x14ac:dyDescent="0.25">
      <c r="B995" s="3"/>
      <c r="C995" s="3"/>
    </row>
    <row r="996" spans="2:3" x14ac:dyDescent="0.25">
      <c r="B996" s="3"/>
      <c r="C996" s="3"/>
    </row>
    <row r="997" spans="2:3" x14ac:dyDescent="0.25">
      <c r="B997" s="3"/>
      <c r="C997" s="3"/>
    </row>
    <row r="998" spans="2:3" x14ac:dyDescent="0.25">
      <c r="B998" s="3"/>
      <c r="C998" s="3"/>
    </row>
    <row r="999" spans="2:3" x14ac:dyDescent="0.25">
      <c r="B999" s="3"/>
      <c r="C999" s="3"/>
    </row>
    <row r="1000" spans="2:3" x14ac:dyDescent="0.25">
      <c r="B1000" s="3"/>
      <c r="C1000" s="3"/>
    </row>
    <row r="1001" spans="2:3" x14ac:dyDescent="0.25">
      <c r="B1001" s="3"/>
      <c r="C1001" s="3"/>
    </row>
    <row r="1002" spans="2:3" x14ac:dyDescent="0.25">
      <c r="B1002" s="3"/>
      <c r="C1002" s="3"/>
    </row>
    <row r="1003" spans="2:3" x14ac:dyDescent="0.25">
      <c r="B1003" s="3"/>
      <c r="C1003" s="3"/>
    </row>
    <row r="1004" spans="2:3" x14ac:dyDescent="0.25">
      <c r="B1004" s="3"/>
      <c r="C1004" s="3"/>
    </row>
    <row r="1005" spans="2:3" x14ac:dyDescent="0.25">
      <c r="B1005" s="3"/>
      <c r="C1005" s="3"/>
    </row>
    <row r="1006" spans="2:3" x14ac:dyDescent="0.25">
      <c r="B1006" s="3"/>
      <c r="C1006" s="3"/>
    </row>
    <row r="1007" spans="2:3" x14ac:dyDescent="0.25">
      <c r="B1007" s="3"/>
      <c r="C1007" s="3"/>
    </row>
    <row r="1008" spans="2:3" x14ac:dyDescent="0.25">
      <c r="B1008" s="3"/>
      <c r="C1008" s="3"/>
    </row>
    <row r="1009" spans="2:3" x14ac:dyDescent="0.25">
      <c r="B1009" s="3"/>
      <c r="C1009" s="3"/>
    </row>
    <row r="1010" spans="2:3" x14ac:dyDescent="0.25">
      <c r="B1010" s="3"/>
      <c r="C1010" s="3"/>
    </row>
    <row r="1011" spans="2:3" x14ac:dyDescent="0.25">
      <c r="B1011" s="3"/>
      <c r="C1011" s="3"/>
    </row>
    <row r="1012" spans="2:3" x14ac:dyDescent="0.25">
      <c r="B1012" s="3"/>
      <c r="C1012" s="3"/>
    </row>
    <row r="1013" spans="2:3" x14ac:dyDescent="0.25">
      <c r="B1013" s="3"/>
      <c r="C1013" s="3"/>
    </row>
    <row r="1014" spans="2:3" x14ac:dyDescent="0.25">
      <c r="B1014" s="3"/>
      <c r="C1014" s="3"/>
    </row>
    <row r="1015" spans="2:3" x14ac:dyDescent="0.25">
      <c r="B1015" s="3"/>
      <c r="C1015" s="3"/>
    </row>
    <row r="1016" spans="2:3" x14ac:dyDescent="0.25">
      <c r="B1016" s="3"/>
      <c r="C1016" s="3"/>
    </row>
    <row r="1017" spans="2:3" x14ac:dyDescent="0.25">
      <c r="B1017" s="3"/>
      <c r="C1017" s="3"/>
    </row>
    <row r="1018" spans="2:3" x14ac:dyDescent="0.25">
      <c r="B1018" s="3"/>
      <c r="C1018" s="3"/>
    </row>
    <row r="1019" spans="2:3" x14ac:dyDescent="0.25">
      <c r="B1019" s="3"/>
      <c r="C1019" s="3"/>
    </row>
    <row r="1020" spans="2:3" x14ac:dyDescent="0.25">
      <c r="B1020" s="3"/>
      <c r="C1020" s="3"/>
    </row>
    <row r="1021" spans="2:3" x14ac:dyDescent="0.25">
      <c r="B1021" s="3"/>
      <c r="C1021" s="3"/>
    </row>
    <row r="1022" spans="2:3" x14ac:dyDescent="0.25">
      <c r="B1022" s="3"/>
      <c r="C1022" s="3"/>
    </row>
    <row r="1023" spans="2:3" x14ac:dyDescent="0.25">
      <c r="B1023" s="3"/>
      <c r="C1023" s="3"/>
    </row>
    <row r="1024" spans="2:3" x14ac:dyDescent="0.25">
      <c r="B1024" s="3"/>
      <c r="C1024" s="3"/>
    </row>
    <row r="1025" spans="2:3" x14ac:dyDescent="0.25">
      <c r="B1025" s="3"/>
      <c r="C1025" s="3"/>
    </row>
    <row r="1026" spans="2:3" x14ac:dyDescent="0.25">
      <c r="B1026" s="3"/>
      <c r="C1026" s="3"/>
    </row>
    <row r="1027" spans="2:3" x14ac:dyDescent="0.25">
      <c r="B1027" s="3"/>
      <c r="C1027" s="3"/>
    </row>
    <row r="1028" spans="2:3" x14ac:dyDescent="0.25">
      <c r="B1028" s="3"/>
      <c r="C1028" s="3"/>
    </row>
    <row r="1029" spans="2:3" x14ac:dyDescent="0.25">
      <c r="B1029" s="3"/>
      <c r="C1029" s="3"/>
    </row>
    <row r="1030" spans="2:3" x14ac:dyDescent="0.25">
      <c r="B1030" s="3"/>
      <c r="C1030" s="3"/>
    </row>
    <row r="1031" spans="2:3" x14ac:dyDescent="0.25">
      <c r="B1031" s="3"/>
      <c r="C1031" s="3"/>
    </row>
    <row r="1032" spans="2:3" x14ac:dyDescent="0.25">
      <c r="B1032" s="3"/>
      <c r="C1032" s="3"/>
    </row>
    <row r="1033" spans="2:3" x14ac:dyDescent="0.25">
      <c r="B1033" s="3"/>
      <c r="C1033" s="3"/>
    </row>
    <row r="1034" spans="2:3" x14ac:dyDescent="0.25">
      <c r="B1034" s="3"/>
      <c r="C1034" s="3"/>
    </row>
    <row r="1035" spans="2:3" x14ac:dyDescent="0.25">
      <c r="B1035" s="3"/>
      <c r="C1035" s="3"/>
    </row>
    <row r="1036" spans="2:3" x14ac:dyDescent="0.25">
      <c r="B1036" s="3"/>
      <c r="C1036" s="3"/>
    </row>
    <row r="1037" spans="2:3" x14ac:dyDescent="0.25">
      <c r="B1037" s="3"/>
      <c r="C1037" s="3"/>
    </row>
    <row r="1038" spans="2:3" x14ac:dyDescent="0.25">
      <c r="B1038" s="3"/>
      <c r="C1038" s="3"/>
    </row>
    <row r="1039" spans="2:3" x14ac:dyDescent="0.25">
      <c r="B1039" s="3"/>
      <c r="C1039" s="3"/>
    </row>
    <row r="1040" spans="2:3" x14ac:dyDescent="0.25">
      <c r="B1040" s="3"/>
      <c r="C1040" s="3"/>
    </row>
    <row r="1041" spans="2:3" x14ac:dyDescent="0.25">
      <c r="B1041" s="3"/>
      <c r="C1041" s="3"/>
    </row>
    <row r="1042" spans="2:3" x14ac:dyDescent="0.25">
      <c r="B1042" s="3"/>
      <c r="C1042" s="3"/>
    </row>
    <row r="1043" spans="2:3" x14ac:dyDescent="0.25">
      <c r="B1043" s="3"/>
      <c r="C1043" s="3"/>
    </row>
    <row r="1044" spans="2:3" x14ac:dyDescent="0.25">
      <c r="B1044" s="3"/>
      <c r="C1044" s="3"/>
    </row>
    <row r="1045" spans="2:3" x14ac:dyDescent="0.25">
      <c r="B1045" s="3"/>
      <c r="C1045" s="3"/>
    </row>
    <row r="1046" spans="2:3" x14ac:dyDescent="0.25">
      <c r="B1046" s="3"/>
      <c r="C1046" s="3"/>
    </row>
    <row r="1047" spans="2:3" x14ac:dyDescent="0.25">
      <c r="B1047" s="3"/>
      <c r="C1047" s="3"/>
    </row>
    <row r="1048" spans="2:3" x14ac:dyDescent="0.25">
      <c r="B1048" s="3"/>
      <c r="C1048" s="3"/>
    </row>
    <row r="1049" spans="2:3" x14ac:dyDescent="0.25">
      <c r="B1049" s="3"/>
      <c r="C1049" s="3"/>
    </row>
    <row r="1050" spans="2:3" x14ac:dyDescent="0.25">
      <c r="B1050" s="3"/>
      <c r="C1050" s="3"/>
    </row>
    <row r="1051" spans="2:3" x14ac:dyDescent="0.25">
      <c r="B1051" s="3"/>
      <c r="C1051" s="3"/>
    </row>
    <row r="1052" spans="2:3" x14ac:dyDescent="0.25">
      <c r="B1052" s="3"/>
      <c r="C1052" s="3"/>
    </row>
    <row r="1053" spans="2:3" x14ac:dyDescent="0.25">
      <c r="B1053" s="3"/>
      <c r="C1053" s="3"/>
    </row>
    <row r="1054" spans="2:3" x14ac:dyDescent="0.25">
      <c r="B1054" s="3"/>
      <c r="C1054" s="3"/>
    </row>
    <row r="1055" spans="2:3" x14ac:dyDescent="0.25">
      <c r="B1055" s="3"/>
      <c r="C1055" s="3"/>
    </row>
    <row r="1056" spans="2:3" x14ac:dyDescent="0.25">
      <c r="B1056" s="3"/>
      <c r="C1056" s="3"/>
    </row>
    <row r="1057" spans="2:3" x14ac:dyDescent="0.25">
      <c r="B1057" s="3"/>
      <c r="C1057" s="3"/>
    </row>
    <row r="1058" spans="2:3" x14ac:dyDescent="0.25">
      <c r="B1058" s="3"/>
      <c r="C1058" s="3"/>
    </row>
    <row r="1059" spans="2:3" x14ac:dyDescent="0.25">
      <c r="B1059" s="3"/>
      <c r="C1059" s="3"/>
    </row>
    <row r="1060" spans="2:3" x14ac:dyDescent="0.25">
      <c r="B1060" s="3"/>
      <c r="C1060" s="3"/>
    </row>
    <row r="1061" spans="2:3" x14ac:dyDescent="0.25">
      <c r="B1061" s="3"/>
      <c r="C1061" s="3"/>
    </row>
    <row r="1062" spans="2:3" x14ac:dyDescent="0.25">
      <c r="B1062" s="3"/>
      <c r="C1062" s="3"/>
    </row>
    <row r="1063" spans="2:3" x14ac:dyDescent="0.25">
      <c r="B1063" s="3"/>
      <c r="C1063" s="3"/>
    </row>
    <row r="1064" spans="2:3" x14ac:dyDescent="0.25">
      <c r="B1064" s="3"/>
      <c r="C1064" s="3"/>
    </row>
    <row r="1065" spans="2:3" x14ac:dyDescent="0.25">
      <c r="B1065" s="3"/>
      <c r="C1065" s="3"/>
    </row>
    <row r="1066" spans="2:3" x14ac:dyDescent="0.25">
      <c r="B1066" s="3"/>
      <c r="C1066" s="3"/>
    </row>
    <row r="1067" spans="2:3" x14ac:dyDescent="0.25">
      <c r="B1067" s="3"/>
      <c r="C1067" s="3"/>
    </row>
    <row r="1068" spans="2:3" x14ac:dyDescent="0.25">
      <c r="B1068" s="3"/>
      <c r="C1068" s="3"/>
    </row>
    <row r="1069" spans="2:3" x14ac:dyDescent="0.25">
      <c r="B1069" s="3"/>
      <c r="C1069" s="3"/>
    </row>
    <row r="1070" spans="2:3" x14ac:dyDescent="0.25">
      <c r="B1070" s="3"/>
      <c r="C1070" s="3"/>
    </row>
    <row r="1071" spans="2:3" x14ac:dyDescent="0.25">
      <c r="B1071" s="3"/>
      <c r="C1071" s="3"/>
    </row>
    <row r="1072" spans="2:3" x14ac:dyDescent="0.25">
      <c r="B1072" s="3"/>
      <c r="C1072" s="3"/>
    </row>
    <row r="1073" spans="2:3" x14ac:dyDescent="0.25">
      <c r="B1073" s="3"/>
      <c r="C1073" s="3"/>
    </row>
    <row r="1074" spans="2:3" x14ac:dyDescent="0.25">
      <c r="B1074" s="3"/>
      <c r="C1074" s="3"/>
    </row>
    <row r="1075" spans="2:3" x14ac:dyDescent="0.25">
      <c r="B1075" s="3"/>
      <c r="C1075" s="3"/>
    </row>
    <row r="1076" spans="2:3" x14ac:dyDescent="0.25">
      <c r="B1076" s="3"/>
      <c r="C1076" s="3"/>
    </row>
    <row r="1077" spans="2:3" x14ac:dyDescent="0.25">
      <c r="B1077" s="3"/>
      <c r="C1077" s="3"/>
    </row>
    <row r="1078" spans="2:3" x14ac:dyDescent="0.25">
      <c r="B1078" s="3"/>
      <c r="C1078" s="3"/>
    </row>
    <row r="1079" spans="2:3" x14ac:dyDescent="0.25">
      <c r="B1079" s="3"/>
      <c r="C1079" s="3"/>
    </row>
    <row r="1080" spans="2:3" x14ac:dyDescent="0.25">
      <c r="B1080" s="3"/>
      <c r="C1080" s="3"/>
    </row>
    <row r="1081" spans="2:3" x14ac:dyDescent="0.25">
      <c r="B1081" s="3"/>
      <c r="C1081" s="3"/>
    </row>
    <row r="1082" spans="2:3" x14ac:dyDescent="0.25">
      <c r="B1082" s="3"/>
      <c r="C1082" s="3"/>
    </row>
    <row r="1083" spans="2:3" x14ac:dyDescent="0.25">
      <c r="B1083" s="3"/>
      <c r="C1083" s="3"/>
    </row>
    <row r="1084" spans="2:3" x14ac:dyDescent="0.25">
      <c r="B1084" s="3"/>
      <c r="C1084" s="3"/>
    </row>
    <row r="1085" spans="2:3" x14ac:dyDescent="0.25">
      <c r="B1085" s="3"/>
      <c r="C1085" s="3"/>
    </row>
    <row r="1086" spans="2:3" x14ac:dyDescent="0.25">
      <c r="B1086" s="3"/>
      <c r="C1086" s="3"/>
    </row>
    <row r="1087" spans="2:3" x14ac:dyDescent="0.25">
      <c r="B1087" s="3"/>
      <c r="C1087" s="3"/>
    </row>
    <row r="1088" spans="2:3" x14ac:dyDescent="0.25">
      <c r="B1088" s="3"/>
      <c r="C1088" s="3"/>
    </row>
    <row r="1089" spans="2:3" x14ac:dyDescent="0.25">
      <c r="B1089" s="3"/>
      <c r="C1089" s="3"/>
    </row>
    <row r="1090" spans="2:3" x14ac:dyDescent="0.25">
      <c r="B1090" s="3"/>
      <c r="C1090" s="3"/>
    </row>
    <row r="1091" spans="2:3" x14ac:dyDescent="0.25">
      <c r="B1091" s="3"/>
      <c r="C1091" s="3"/>
    </row>
    <row r="1092" spans="2:3" x14ac:dyDescent="0.25">
      <c r="B1092" s="3"/>
      <c r="C1092" s="3"/>
    </row>
    <row r="1093" spans="2:3" x14ac:dyDescent="0.25">
      <c r="B1093" s="3"/>
      <c r="C1093" s="3"/>
    </row>
    <row r="1094" spans="2:3" x14ac:dyDescent="0.25">
      <c r="B1094" s="3"/>
      <c r="C1094" s="3"/>
    </row>
    <row r="1095" spans="2:3" x14ac:dyDescent="0.25">
      <c r="B1095" s="3"/>
      <c r="C1095" s="3"/>
    </row>
    <row r="1096" spans="2:3" x14ac:dyDescent="0.25">
      <c r="B1096" s="3"/>
      <c r="C1096" s="3"/>
    </row>
    <row r="1097" spans="2:3" x14ac:dyDescent="0.25">
      <c r="B1097" s="3"/>
      <c r="C1097" s="3"/>
    </row>
    <row r="1098" spans="2:3" x14ac:dyDescent="0.25">
      <c r="B1098" s="3"/>
      <c r="C1098" s="3"/>
    </row>
    <row r="1099" spans="2:3" x14ac:dyDescent="0.25">
      <c r="B1099" s="3"/>
      <c r="C1099" s="3"/>
    </row>
    <row r="1100" spans="2:3" x14ac:dyDescent="0.25">
      <c r="B1100" s="3"/>
      <c r="C1100" s="3"/>
    </row>
    <row r="1101" spans="2:3" x14ac:dyDescent="0.25">
      <c r="B1101" s="3"/>
      <c r="C1101" s="3"/>
    </row>
    <row r="1102" spans="2:3" x14ac:dyDescent="0.25">
      <c r="B1102" s="3"/>
      <c r="C1102" s="3"/>
    </row>
    <row r="1103" spans="2:3" x14ac:dyDescent="0.25">
      <c r="B1103" s="3"/>
      <c r="C1103" s="3"/>
    </row>
    <row r="1104" spans="2:3" x14ac:dyDescent="0.25">
      <c r="B1104" s="3"/>
      <c r="C1104" s="3"/>
    </row>
    <row r="1105" spans="2:3" x14ac:dyDescent="0.25">
      <c r="B1105" s="3"/>
      <c r="C1105" s="3"/>
    </row>
    <row r="1106" spans="2:3" x14ac:dyDescent="0.25">
      <c r="B1106" s="3"/>
      <c r="C1106" s="3"/>
    </row>
    <row r="1107" spans="2:3" x14ac:dyDescent="0.25">
      <c r="B1107" s="3"/>
      <c r="C1107" s="3"/>
    </row>
    <row r="1108" spans="2:3" x14ac:dyDescent="0.25">
      <c r="B1108" s="3"/>
      <c r="C1108" s="3"/>
    </row>
    <row r="1109" spans="2:3" x14ac:dyDescent="0.25">
      <c r="B1109" s="3"/>
      <c r="C1109" s="3"/>
    </row>
    <row r="1110" spans="2:3" x14ac:dyDescent="0.25">
      <c r="B1110" s="3"/>
      <c r="C1110" s="3"/>
    </row>
    <row r="1111" spans="2:3" x14ac:dyDescent="0.25">
      <c r="B1111" s="3"/>
      <c r="C1111" s="3"/>
    </row>
    <row r="1112" spans="2:3" x14ac:dyDescent="0.25">
      <c r="B1112" s="3"/>
      <c r="C1112" s="3"/>
    </row>
    <row r="1113" spans="2:3" x14ac:dyDescent="0.25">
      <c r="B1113" s="3"/>
      <c r="C1113" s="3"/>
    </row>
    <row r="1114" spans="2:3" x14ac:dyDescent="0.25">
      <c r="B1114" s="3"/>
      <c r="C1114" s="3"/>
    </row>
    <row r="1115" spans="2:3" x14ac:dyDescent="0.25">
      <c r="B1115" s="3"/>
      <c r="C1115" s="3"/>
    </row>
    <row r="1116" spans="2:3" x14ac:dyDescent="0.25">
      <c r="B1116" s="3"/>
      <c r="C1116" s="3"/>
    </row>
    <row r="1117" spans="2:3" x14ac:dyDescent="0.25">
      <c r="B1117" s="3"/>
      <c r="C1117" s="3"/>
    </row>
    <row r="1118" spans="2:3" x14ac:dyDescent="0.25">
      <c r="B1118" s="3"/>
      <c r="C1118" s="3"/>
    </row>
    <row r="1119" spans="2:3" x14ac:dyDescent="0.25">
      <c r="B1119" s="3"/>
      <c r="C1119" s="3"/>
    </row>
    <row r="1120" spans="2:3" x14ac:dyDescent="0.25">
      <c r="B1120" s="3"/>
      <c r="C1120" s="3"/>
    </row>
    <row r="1121" spans="2:3" x14ac:dyDescent="0.25">
      <c r="B1121" s="3"/>
      <c r="C1121" s="3"/>
    </row>
    <row r="1122" spans="2:3" x14ac:dyDescent="0.25">
      <c r="B1122" s="3"/>
      <c r="C1122" s="3"/>
    </row>
    <row r="1123" spans="2:3" x14ac:dyDescent="0.25">
      <c r="B1123" s="3"/>
      <c r="C1123" s="3"/>
    </row>
    <row r="1124" spans="2:3" x14ac:dyDescent="0.25">
      <c r="B1124" s="3"/>
      <c r="C1124" s="3"/>
    </row>
    <row r="1125" spans="2:3" x14ac:dyDescent="0.25">
      <c r="B1125" s="3"/>
      <c r="C1125" s="3"/>
    </row>
    <row r="1126" spans="2:3" x14ac:dyDescent="0.25">
      <c r="B1126" s="3"/>
      <c r="C1126" s="3"/>
    </row>
    <row r="1127" spans="2:3" x14ac:dyDescent="0.25">
      <c r="B1127" s="3"/>
      <c r="C1127" s="3"/>
    </row>
    <row r="1128" spans="2:3" x14ac:dyDescent="0.25">
      <c r="B1128" s="3"/>
      <c r="C1128" s="3"/>
    </row>
    <row r="1129" spans="2:3" x14ac:dyDescent="0.25">
      <c r="B1129" s="3"/>
      <c r="C1129" s="3"/>
    </row>
    <row r="1130" spans="2:3" x14ac:dyDescent="0.25">
      <c r="B1130" s="3"/>
      <c r="C1130" s="3"/>
    </row>
    <row r="1131" spans="2:3" x14ac:dyDescent="0.25">
      <c r="B1131" s="3"/>
      <c r="C1131" s="3"/>
    </row>
    <row r="1132" spans="2:3" x14ac:dyDescent="0.25">
      <c r="B1132" s="3"/>
      <c r="C1132" s="3"/>
    </row>
    <row r="1133" spans="2:3" x14ac:dyDescent="0.25">
      <c r="B1133" s="3"/>
      <c r="C1133" s="3"/>
    </row>
    <row r="1134" spans="2:3" x14ac:dyDescent="0.25">
      <c r="B1134" s="3"/>
      <c r="C1134" s="3"/>
    </row>
    <row r="1135" spans="2:3" x14ac:dyDescent="0.25">
      <c r="B1135" s="3"/>
      <c r="C1135" s="3"/>
    </row>
    <row r="1136" spans="2:3" x14ac:dyDescent="0.25">
      <c r="B1136" s="3"/>
      <c r="C1136" s="3"/>
    </row>
    <row r="1137" spans="2:3" x14ac:dyDescent="0.25">
      <c r="B1137" s="3"/>
      <c r="C1137" s="3"/>
    </row>
    <row r="1138" spans="2:3" x14ac:dyDescent="0.25">
      <c r="B1138" s="3"/>
      <c r="C1138" s="3"/>
    </row>
    <row r="1139" spans="2:3" x14ac:dyDescent="0.25">
      <c r="B1139" s="3"/>
      <c r="C1139" s="3"/>
    </row>
    <row r="1140" spans="2:3" x14ac:dyDescent="0.25">
      <c r="B1140" s="3"/>
      <c r="C1140" s="3"/>
    </row>
    <row r="1141" spans="2:3" x14ac:dyDescent="0.25">
      <c r="B1141" s="3"/>
      <c r="C1141" s="3"/>
    </row>
    <row r="1142" spans="2:3" x14ac:dyDescent="0.25">
      <c r="B1142" s="3"/>
      <c r="C1142" s="3"/>
    </row>
    <row r="1143" spans="2:3" x14ac:dyDescent="0.25">
      <c r="B1143" s="3"/>
      <c r="C1143" s="3"/>
    </row>
    <row r="1144" spans="2:3" x14ac:dyDescent="0.25">
      <c r="B1144" s="3"/>
      <c r="C1144" s="3"/>
    </row>
    <row r="1145" spans="2:3" x14ac:dyDescent="0.25">
      <c r="B1145" s="3"/>
      <c r="C1145" s="3"/>
    </row>
    <row r="1146" spans="2:3" x14ac:dyDescent="0.25">
      <c r="B1146" s="3"/>
      <c r="C1146" s="3"/>
    </row>
    <row r="1147" spans="2:3" x14ac:dyDescent="0.25">
      <c r="B1147" s="3"/>
      <c r="C1147" s="3"/>
    </row>
    <row r="1148" spans="2:3" x14ac:dyDescent="0.25">
      <c r="B1148" s="3"/>
      <c r="C1148" s="3"/>
    </row>
    <row r="1149" spans="2:3" x14ac:dyDescent="0.25">
      <c r="B1149" s="3"/>
      <c r="C1149" s="3"/>
    </row>
    <row r="1150" spans="2:3" x14ac:dyDescent="0.25">
      <c r="B1150" s="3"/>
      <c r="C1150" s="3"/>
    </row>
    <row r="1151" spans="2:3" x14ac:dyDescent="0.25">
      <c r="B1151" s="3"/>
      <c r="C1151" s="3"/>
    </row>
    <row r="1152" spans="2:3" x14ac:dyDescent="0.25">
      <c r="B1152" s="3"/>
      <c r="C1152" s="3"/>
    </row>
    <row r="1153" spans="2:3" x14ac:dyDescent="0.25">
      <c r="B1153" s="3"/>
      <c r="C1153" s="3"/>
    </row>
    <row r="1154" spans="2:3" x14ac:dyDescent="0.25">
      <c r="B1154" s="3"/>
      <c r="C1154" s="3"/>
    </row>
    <row r="1155" spans="2:3" x14ac:dyDescent="0.25">
      <c r="B1155" s="3"/>
      <c r="C1155" s="3"/>
    </row>
    <row r="1156" spans="2:3" x14ac:dyDescent="0.25">
      <c r="B1156" s="3"/>
      <c r="C1156" s="3"/>
    </row>
    <row r="1157" spans="2:3" x14ac:dyDescent="0.25">
      <c r="B1157" s="3"/>
      <c r="C1157" s="3"/>
    </row>
    <row r="1158" spans="2:3" x14ac:dyDescent="0.25">
      <c r="B1158" s="3"/>
      <c r="C1158" s="3"/>
    </row>
    <row r="1159" spans="2:3" x14ac:dyDescent="0.25">
      <c r="B1159" s="3"/>
      <c r="C1159" s="3"/>
    </row>
    <row r="1160" spans="2:3" x14ac:dyDescent="0.25">
      <c r="B1160" s="3"/>
      <c r="C1160" s="3"/>
    </row>
    <row r="1161" spans="2:3" x14ac:dyDescent="0.25">
      <c r="B1161" s="3"/>
      <c r="C1161" s="3"/>
    </row>
    <row r="1162" spans="2:3" x14ac:dyDescent="0.25">
      <c r="B1162" s="3"/>
      <c r="C1162" s="3"/>
    </row>
    <row r="1163" spans="2:3" x14ac:dyDescent="0.25">
      <c r="B1163" s="3"/>
      <c r="C1163" s="3"/>
    </row>
    <row r="1164" spans="2:3" x14ac:dyDescent="0.25">
      <c r="B1164" s="3"/>
      <c r="C1164" s="3"/>
    </row>
    <row r="1165" spans="2:3" x14ac:dyDescent="0.25">
      <c r="B1165" s="3"/>
      <c r="C1165" s="3"/>
    </row>
    <row r="1166" spans="2:3" x14ac:dyDescent="0.25">
      <c r="B1166" s="3"/>
      <c r="C1166" s="3"/>
    </row>
    <row r="1167" spans="2:3" x14ac:dyDescent="0.25">
      <c r="B1167" s="3"/>
      <c r="C1167" s="3"/>
    </row>
    <row r="1168" spans="2:3" x14ac:dyDescent="0.25">
      <c r="B1168" s="3"/>
      <c r="C1168" s="3"/>
    </row>
    <row r="1169" spans="2:3" x14ac:dyDescent="0.25">
      <c r="B1169" s="3"/>
      <c r="C1169" s="3"/>
    </row>
    <row r="1170" spans="2:3" x14ac:dyDescent="0.25">
      <c r="B1170" s="3"/>
      <c r="C1170" s="3"/>
    </row>
    <row r="1171" spans="2:3" x14ac:dyDescent="0.25">
      <c r="B1171" s="3"/>
      <c r="C1171" s="3"/>
    </row>
    <row r="1172" spans="2:3" x14ac:dyDescent="0.25">
      <c r="B1172" s="3"/>
      <c r="C1172" s="3"/>
    </row>
    <row r="1173" spans="2:3" x14ac:dyDescent="0.25">
      <c r="B1173" s="3"/>
      <c r="C1173" s="3"/>
    </row>
    <row r="1174" spans="2:3" x14ac:dyDescent="0.25">
      <c r="B1174" s="3"/>
      <c r="C1174" s="3"/>
    </row>
    <row r="1175" spans="2:3" x14ac:dyDescent="0.25">
      <c r="B1175" s="3"/>
      <c r="C1175" s="3"/>
    </row>
    <row r="1176" spans="2:3" x14ac:dyDescent="0.25">
      <c r="B1176" s="3"/>
      <c r="C1176" s="3"/>
    </row>
    <row r="1177" spans="2:3" x14ac:dyDescent="0.25">
      <c r="B1177" s="3"/>
      <c r="C1177" s="3"/>
    </row>
    <row r="1178" spans="2:3" x14ac:dyDescent="0.25">
      <c r="B1178" s="3"/>
      <c r="C1178" s="3"/>
    </row>
    <row r="1179" spans="2:3" x14ac:dyDescent="0.25">
      <c r="B1179" s="3"/>
      <c r="C1179" s="3"/>
    </row>
    <row r="1180" spans="2:3" x14ac:dyDescent="0.25">
      <c r="B1180" s="3"/>
      <c r="C1180" s="3"/>
    </row>
    <row r="1181" spans="2:3" x14ac:dyDescent="0.25">
      <c r="B1181" s="3"/>
      <c r="C1181" s="3"/>
    </row>
    <row r="1182" spans="2:3" x14ac:dyDescent="0.25">
      <c r="B1182" s="3"/>
      <c r="C1182" s="3"/>
    </row>
    <row r="1183" spans="2:3" x14ac:dyDescent="0.25">
      <c r="B1183" s="3"/>
      <c r="C1183" s="3"/>
    </row>
    <row r="1184" spans="2:3" x14ac:dyDescent="0.25">
      <c r="B1184" s="3"/>
      <c r="C1184" s="3"/>
    </row>
    <row r="1185" spans="2:3" x14ac:dyDescent="0.25">
      <c r="B1185" s="3"/>
      <c r="C1185" s="3"/>
    </row>
    <row r="1186" spans="2:3" x14ac:dyDescent="0.25">
      <c r="B1186" s="3"/>
      <c r="C1186" s="3"/>
    </row>
    <row r="1187" spans="2:3" x14ac:dyDescent="0.25">
      <c r="B1187" s="3"/>
      <c r="C1187" s="3"/>
    </row>
    <row r="1188" spans="2:3" x14ac:dyDescent="0.25">
      <c r="B1188" s="3"/>
      <c r="C1188" s="3"/>
    </row>
    <row r="1189" spans="2:3" x14ac:dyDescent="0.25">
      <c r="B1189" s="3"/>
      <c r="C1189" s="3"/>
    </row>
    <row r="1190" spans="2:3" x14ac:dyDescent="0.25">
      <c r="B1190" s="3"/>
      <c r="C1190" s="3"/>
    </row>
    <row r="1191" spans="2:3" x14ac:dyDescent="0.25">
      <c r="B1191" s="3"/>
      <c r="C1191" s="3"/>
    </row>
    <row r="1192" spans="2:3" x14ac:dyDescent="0.25">
      <c r="B1192" s="3"/>
      <c r="C1192" s="3"/>
    </row>
    <row r="1193" spans="2:3" x14ac:dyDescent="0.25">
      <c r="B1193" s="3"/>
      <c r="C1193" s="3"/>
    </row>
    <row r="1194" spans="2:3" x14ac:dyDescent="0.25">
      <c r="B1194" s="3"/>
      <c r="C1194" s="3"/>
    </row>
    <row r="1195" spans="2:3" x14ac:dyDescent="0.25">
      <c r="B1195" s="3"/>
      <c r="C1195" s="3"/>
    </row>
    <row r="1196" spans="2:3" x14ac:dyDescent="0.25">
      <c r="B1196" s="3"/>
      <c r="C1196" s="3"/>
    </row>
    <row r="1197" spans="2:3" x14ac:dyDescent="0.25">
      <c r="B1197" s="3"/>
      <c r="C1197" s="3"/>
    </row>
    <row r="1198" spans="2:3" x14ac:dyDescent="0.25">
      <c r="B1198" s="3"/>
      <c r="C1198" s="3"/>
    </row>
    <row r="1199" spans="2:3" x14ac:dyDescent="0.25">
      <c r="B1199" s="3"/>
      <c r="C1199" s="3"/>
    </row>
    <row r="1200" spans="2:3" x14ac:dyDescent="0.25">
      <c r="B1200" s="3"/>
      <c r="C1200" s="3"/>
    </row>
    <row r="1201" spans="2:3" x14ac:dyDescent="0.25">
      <c r="B1201" s="3"/>
      <c r="C1201" s="3"/>
    </row>
    <row r="1202" spans="2:3" x14ac:dyDescent="0.25">
      <c r="B1202" s="3"/>
      <c r="C1202" s="3"/>
    </row>
    <row r="1203" spans="2:3" x14ac:dyDescent="0.25">
      <c r="B1203" s="3"/>
      <c r="C1203" s="3"/>
    </row>
    <row r="1204" spans="2:3" x14ac:dyDescent="0.25">
      <c r="B1204" s="3"/>
      <c r="C1204" s="3"/>
    </row>
    <row r="1205" spans="2:3" x14ac:dyDescent="0.25">
      <c r="B1205" s="3"/>
      <c r="C1205" s="3"/>
    </row>
    <row r="1206" spans="2:3" x14ac:dyDescent="0.25">
      <c r="B1206" s="3"/>
      <c r="C1206" s="3"/>
    </row>
    <row r="1207" spans="2:3" x14ac:dyDescent="0.25">
      <c r="B1207" s="3"/>
      <c r="C1207" s="3"/>
    </row>
    <row r="1208" spans="2:3" x14ac:dyDescent="0.25">
      <c r="B1208" s="3"/>
      <c r="C1208" s="3"/>
    </row>
    <row r="1209" spans="2:3" x14ac:dyDescent="0.25">
      <c r="B1209" s="3"/>
      <c r="C1209" s="3"/>
    </row>
    <row r="1210" spans="2:3" x14ac:dyDescent="0.25">
      <c r="B1210" s="3"/>
      <c r="C1210" s="3"/>
    </row>
    <row r="1211" spans="2:3" x14ac:dyDescent="0.25">
      <c r="B1211" s="3"/>
      <c r="C1211" s="3"/>
    </row>
    <row r="1212" spans="2:3" x14ac:dyDescent="0.25">
      <c r="B1212" s="3"/>
      <c r="C1212" s="3"/>
    </row>
    <row r="1213" spans="2:3" x14ac:dyDescent="0.25">
      <c r="B1213" s="3"/>
      <c r="C1213" s="3"/>
    </row>
    <row r="1214" spans="2:3" x14ac:dyDescent="0.25">
      <c r="B1214" s="3"/>
      <c r="C1214" s="3"/>
    </row>
    <row r="1215" spans="2:3" x14ac:dyDescent="0.25">
      <c r="B1215" s="3"/>
      <c r="C1215" s="3"/>
    </row>
    <row r="1216" spans="2:3" x14ac:dyDescent="0.25">
      <c r="B1216" s="3"/>
      <c r="C1216" s="3"/>
    </row>
    <row r="1217" spans="2:3" x14ac:dyDescent="0.25">
      <c r="B1217" s="3"/>
      <c r="C1217" s="3"/>
    </row>
    <row r="1218" spans="2:3" x14ac:dyDescent="0.25">
      <c r="B1218" s="3"/>
      <c r="C1218" s="3"/>
    </row>
    <row r="1219" spans="2:3" x14ac:dyDescent="0.25">
      <c r="B1219" s="3"/>
      <c r="C1219" s="3"/>
    </row>
    <row r="1220" spans="2:3" x14ac:dyDescent="0.25">
      <c r="B1220" s="3"/>
      <c r="C1220" s="3"/>
    </row>
    <row r="1221" spans="2:3" x14ac:dyDescent="0.25">
      <c r="B1221" s="3"/>
      <c r="C1221" s="3"/>
    </row>
    <row r="1222" spans="2:3" x14ac:dyDescent="0.25">
      <c r="B1222" s="3"/>
      <c r="C1222" s="3"/>
    </row>
    <row r="1223" spans="2:3" x14ac:dyDescent="0.25">
      <c r="B1223" s="3"/>
      <c r="C1223" s="3"/>
    </row>
    <row r="1224" spans="2:3" x14ac:dyDescent="0.25">
      <c r="B1224" s="3"/>
      <c r="C1224" s="3"/>
    </row>
    <row r="1225" spans="2:3" x14ac:dyDescent="0.25">
      <c r="B1225" s="3"/>
      <c r="C1225" s="3"/>
    </row>
    <row r="1226" spans="2:3" x14ac:dyDescent="0.25">
      <c r="B1226" s="3"/>
      <c r="C1226" s="3"/>
    </row>
    <row r="1227" spans="2:3" x14ac:dyDescent="0.25">
      <c r="B1227" s="3"/>
      <c r="C1227" s="3"/>
    </row>
    <row r="1228" spans="2:3" x14ac:dyDescent="0.25">
      <c r="B1228" s="3"/>
      <c r="C1228" s="3"/>
    </row>
    <row r="1229" spans="2:3" x14ac:dyDescent="0.25">
      <c r="B1229" s="3"/>
      <c r="C1229" s="3"/>
    </row>
    <row r="1230" spans="2:3" x14ac:dyDescent="0.25">
      <c r="B1230" s="3"/>
      <c r="C1230" s="3"/>
    </row>
    <row r="1231" spans="2:3" x14ac:dyDescent="0.25">
      <c r="B1231" s="3"/>
      <c r="C1231" s="3"/>
    </row>
    <row r="1232" spans="2:3" x14ac:dyDescent="0.25">
      <c r="B1232" s="3"/>
      <c r="C1232" s="3"/>
    </row>
    <row r="1233" spans="2:3" x14ac:dyDescent="0.25">
      <c r="B1233" s="3"/>
      <c r="C1233" s="3"/>
    </row>
    <row r="1234" spans="2:3" x14ac:dyDescent="0.25">
      <c r="B1234" s="3"/>
      <c r="C1234" s="3"/>
    </row>
    <row r="1235" spans="2:3" x14ac:dyDescent="0.25">
      <c r="B1235" s="3"/>
      <c r="C1235" s="3"/>
    </row>
    <row r="1236" spans="2:3" x14ac:dyDescent="0.25">
      <c r="B1236" s="3"/>
      <c r="C1236" s="3"/>
    </row>
    <row r="1237" spans="2:3" x14ac:dyDescent="0.25">
      <c r="B1237" s="3"/>
      <c r="C1237" s="3"/>
    </row>
    <row r="1238" spans="2:3" x14ac:dyDescent="0.25">
      <c r="B1238" s="3"/>
      <c r="C1238" s="3"/>
    </row>
    <row r="1239" spans="2:3" x14ac:dyDescent="0.25">
      <c r="B1239" s="3"/>
      <c r="C1239" s="3"/>
    </row>
    <row r="1240" spans="2:3" x14ac:dyDescent="0.25">
      <c r="B1240" s="3"/>
      <c r="C1240" s="3"/>
    </row>
    <row r="1241" spans="2:3" x14ac:dyDescent="0.25">
      <c r="B1241" s="3"/>
      <c r="C1241" s="3"/>
    </row>
    <row r="1242" spans="2:3" x14ac:dyDescent="0.25">
      <c r="B1242" s="3"/>
      <c r="C1242" s="3"/>
    </row>
    <row r="1243" spans="2:3" x14ac:dyDescent="0.25">
      <c r="B1243" s="3"/>
      <c r="C1243" s="3"/>
    </row>
    <row r="1244" spans="2:3" x14ac:dyDescent="0.25">
      <c r="B1244" s="3"/>
      <c r="C1244" s="3"/>
    </row>
    <row r="1245" spans="2:3" x14ac:dyDescent="0.25">
      <c r="B1245" s="3"/>
      <c r="C1245" s="3"/>
    </row>
    <row r="1246" spans="2:3" x14ac:dyDescent="0.25">
      <c r="B1246" s="3"/>
      <c r="C1246" s="3"/>
    </row>
    <row r="1247" spans="2:3" x14ac:dyDescent="0.25">
      <c r="B1247" s="3"/>
      <c r="C1247" s="3"/>
    </row>
    <row r="1248" spans="2:3" x14ac:dyDescent="0.25">
      <c r="B1248" s="3"/>
      <c r="C1248" s="3"/>
    </row>
    <row r="1249" spans="2:3" x14ac:dyDescent="0.25">
      <c r="B1249" s="3"/>
      <c r="C1249" s="3"/>
    </row>
    <row r="1250" spans="2:3" x14ac:dyDescent="0.25">
      <c r="B1250" s="3"/>
      <c r="C1250" s="3"/>
    </row>
    <row r="1251" spans="2:3" x14ac:dyDescent="0.25">
      <c r="B1251" s="3"/>
      <c r="C1251" s="3"/>
    </row>
    <row r="1252" spans="2:3" x14ac:dyDescent="0.25">
      <c r="B1252" s="3"/>
      <c r="C1252" s="3"/>
    </row>
    <row r="1253" spans="2:3" x14ac:dyDescent="0.25">
      <c r="B1253" s="3"/>
      <c r="C1253" s="3"/>
    </row>
    <row r="1254" spans="2:3" x14ac:dyDescent="0.25">
      <c r="B1254" s="3"/>
      <c r="C1254" s="3"/>
    </row>
    <row r="1255" spans="2:3" x14ac:dyDescent="0.25">
      <c r="B1255" s="3"/>
      <c r="C1255" s="3"/>
    </row>
    <row r="1256" spans="2:3" x14ac:dyDescent="0.25">
      <c r="B1256" s="3"/>
      <c r="C1256" s="3"/>
    </row>
    <row r="1257" spans="2:3" x14ac:dyDescent="0.25">
      <c r="B1257" s="3"/>
      <c r="C1257" s="3"/>
    </row>
    <row r="1258" spans="2:3" x14ac:dyDescent="0.25">
      <c r="B1258" s="3"/>
      <c r="C1258" s="3"/>
    </row>
    <row r="1259" spans="2:3" x14ac:dyDescent="0.25">
      <c r="B1259" s="3"/>
      <c r="C1259" s="3"/>
    </row>
    <row r="1260" spans="2:3" x14ac:dyDescent="0.25">
      <c r="B1260" s="3"/>
      <c r="C1260" s="3"/>
    </row>
    <row r="1261" spans="2:3" x14ac:dyDescent="0.25">
      <c r="B1261" s="3"/>
      <c r="C1261" s="3"/>
    </row>
    <row r="1262" spans="2:3" x14ac:dyDescent="0.25">
      <c r="B1262" s="3"/>
      <c r="C1262" s="3"/>
    </row>
    <row r="1263" spans="2:3" x14ac:dyDescent="0.25">
      <c r="B1263" s="3"/>
      <c r="C1263" s="3"/>
    </row>
    <row r="1264" spans="2:3" x14ac:dyDescent="0.25">
      <c r="B1264" s="3"/>
      <c r="C1264" s="3"/>
    </row>
    <row r="1265" spans="2:3" x14ac:dyDescent="0.25">
      <c r="B1265" s="3"/>
      <c r="C1265" s="3"/>
    </row>
    <row r="1266" spans="2:3" x14ac:dyDescent="0.25">
      <c r="B1266" s="3"/>
      <c r="C1266" s="3"/>
    </row>
    <row r="1267" spans="2:3" x14ac:dyDescent="0.25">
      <c r="B1267" s="3"/>
      <c r="C1267" s="3"/>
    </row>
    <row r="1268" spans="2:3" x14ac:dyDescent="0.25">
      <c r="B1268" s="3"/>
      <c r="C1268" s="3"/>
    </row>
    <row r="1269" spans="2:3" x14ac:dyDescent="0.25">
      <c r="B1269" s="3"/>
      <c r="C1269" s="3"/>
    </row>
    <row r="1270" spans="2:3" x14ac:dyDescent="0.25">
      <c r="B1270" s="3"/>
      <c r="C1270" s="3"/>
    </row>
    <row r="1271" spans="2:3" x14ac:dyDescent="0.25">
      <c r="B1271" s="3"/>
      <c r="C1271" s="3"/>
    </row>
    <row r="1272" spans="2:3" x14ac:dyDescent="0.25">
      <c r="B1272" s="3"/>
      <c r="C1272" s="3"/>
    </row>
    <row r="1273" spans="2:3" x14ac:dyDescent="0.25">
      <c r="B1273" s="3"/>
      <c r="C1273" s="3"/>
    </row>
    <row r="1274" spans="2:3" x14ac:dyDescent="0.25">
      <c r="B1274" s="3"/>
      <c r="C1274" s="3"/>
    </row>
    <row r="1275" spans="2:3" x14ac:dyDescent="0.25">
      <c r="B1275" s="3"/>
      <c r="C1275" s="3"/>
    </row>
    <row r="1276" spans="2:3" x14ac:dyDescent="0.25">
      <c r="B1276" s="3"/>
      <c r="C1276" s="3"/>
    </row>
    <row r="1277" spans="2:3" x14ac:dyDescent="0.25">
      <c r="B1277" s="3"/>
      <c r="C1277" s="3"/>
    </row>
    <row r="1278" spans="2:3" x14ac:dyDescent="0.25">
      <c r="B1278" s="3"/>
      <c r="C1278" s="3"/>
    </row>
    <row r="1279" spans="2:3" x14ac:dyDescent="0.25">
      <c r="B1279" s="3"/>
      <c r="C1279" s="3"/>
    </row>
    <row r="1280" spans="2:3" x14ac:dyDescent="0.25">
      <c r="B1280" s="3"/>
      <c r="C1280" s="3"/>
    </row>
    <row r="1281" spans="2:3" x14ac:dyDescent="0.25">
      <c r="B1281" s="3"/>
      <c r="C1281" s="3"/>
    </row>
    <row r="1282" spans="2:3" x14ac:dyDescent="0.25">
      <c r="B1282" s="3"/>
      <c r="C1282" s="3"/>
    </row>
    <row r="1283" spans="2:3" x14ac:dyDescent="0.25">
      <c r="B1283" s="3"/>
      <c r="C1283" s="3"/>
    </row>
    <row r="1284" spans="2:3" x14ac:dyDescent="0.25">
      <c r="B1284" s="3"/>
      <c r="C1284" s="3"/>
    </row>
    <row r="1285" spans="2:3" x14ac:dyDescent="0.25">
      <c r="B1285" s="3"/>
      <c r="C1285" s="3"/>
    </row>
    <row r="1286" spans="2:3" x14ac:dyDescent="0.25">
      <c r="B1286" s="3"/>
      <c r="C1286" s="3"/>
    </row>
    <row r="1287" spans="2:3" x14ac:dyDescent="0.25">
      <c r="B1287" s="3"/>
      <c r="C1287" s="3"/>
    </row>
    <row r="1288" spans="2:3" x14ac:dyDescent="0.25">
      <c r="B1288" s="3"/>
      <c r="C1288" s="3"/>
    </row>
    <row r="1289" spans="2:3" x14ac:dyDescent="0.25">
      <c r="B1289" s="3"/>
      <c r="C1289" s="3"/>
    </row>
    <row r="1290" spans="2:3" x14ac:dyDescent="0.25">
      <c r="B1290" s="3"/>
      <c r="C1290" s="3"/>
    </row>
    <row r="1291" spans="2:3" x14ac:dyDescent="0.25">
      <c r="B1291" s="3"/>
      <c r="C1291" s="3"/>
    </row>
    <row r="1292" spans="2:3" x14ac:dyDescent="0.25">
      <c r="B1292" s="3"/>
      <c r="C1292" s="3"/>
    </row>
    <row r="1293" spans="2:3" x14ac:dyDescent="0.25">
      <c r="B1293" s="3"/>
      <c r="C1293" s="3"/>
    </row>
    <row r="1294" spans="2:3" x14ac:dyDescent="0.25">
      <c r="B1294" s="3"/>
      <c r="C1294" s="3"/>
    </row>
    <row r="1295" spans="2:3" x14ac:dyDescent="0.25">
      <c r="B1295" s="3"/>
      <c r="C1295" s="3"/>
    </row>
    <row r="1296" spans="2:3" x14ac:dyDescent="0.25">
      <c r="B1296" s="3"/>
      <c r="C1296" s="3"/>
    </row>
    <row r="1297" spans="2:3" x14ac:dyDescent="0.25">
      <c r="B1297" s="3"/>
      <c r="C1297" s="3"/>
    </row>
    <row r="1298" spans="2:3" x14ac:dyDescent="0.25">
      <c r="B1298" s="3"/>
      <c r="C1298" s="3"/>
    </row>
    <row r="1299" spans="2:3" x14ac:dyDescent="0.25">
      <c r="B1299" s="3"/>
      <c r="C1299" s="3"/>
    </row>
    <row r="1300" spans="2:3" x14ac:dyDescent="0.25">
      <c r="B1300" s="3"/>
      <c r="C1300" s="3"/>
    </row>
    <row r="1301" spans="2:3" x14ac:dyDescent="0.25">
      <c r="B1301" s="3"/>
      <c r="C1301" s="3"/>
    </row>
    <row r="1302" spans="2:3" x14ac:dyDescent="0.25">
      <c r="B1302" s="3"/>
      <c r="C1302" s="3"/>
    </row>
    <row r="1303" spans="2:3" x14ac:dyDescent="0.25">
      <c r="B1303" s="3"/>
      <c r="C1303" s="3"/>
    </row>
    <row r="1304" spans="2:3" x14ac:dyDescent="0.25">
      <c r="B1304" s="3"/>
      <c r="C1304" s="3"/>
    </row>
    <row r="1305" spans="2:3" x14ac:dyDescent="0.25">
      <c r="B1305" s="3"/>
      <c r="C1305" s="3"/>
    </row>
    <row r="1306" spans="2:3" x14ac:dyDescent="0.25">
      <c r="B1306" s="3"/>
      <c r="C1306" s="3"/>
    </row>
    <row r="1307" spans="2:3" x14ac:dyDescent="0.25">
      <c r="B1307" s="3"/>
      <c r="C1307" s="3"/>
    </row>
    <row r="1308" spans="2:3" x14ac:dyDescent="0.25">
      <c r="B1308" s="3"/>
      <c r="C1308" s="3"/>
    </row>
    <row r="1309" spans="2:3" x14ac:dyDescent="0.25">
      <c r="B1309" s="3"/>
      <c r="C1309" s="3"/>
    </row>
    <row r="1310" spans="2:3" x14ac:dyDescent="0.25">
      <c r="B1310" s="3"/>
      <c r="C1310" s="3"/>
    </row>
    <row r="1311" spans="2:3" x14ac:dyDescent="0.25">
      <c r="B1311" s="3"/>
      <c r="C1311" s="3"/>
    </row>
    <row r="1312" spans="2:3" x14ac:dyDescent="0.25">
      <c r="B1312" s="3"/>
      <c r="C1312" s="3"/>
    </row>
    <row r="1313" spans="2:3" x14ac:dyDescent="0.25">
      <c r="B1313" s="3"/>
      <c r="C1313" s="3"/>
    </row>
    <row r="1314" spans="2:3" x14ac:dyDescent="0.25">
      <c r="B1314" s="3"/>
      <c r="C1314" s="3"/>
    </row>
    <row r="1315" spans="2:3" x14ac:dyDescent="0.25">
      <c r="B1315" s="3"/>
      <c r="C1315" s="3"/>
    </row>
    <row r="1316" spans="2:3" x14ac:dyDescent="0.25">
      <c r="B1316" s="3"/>
      <c r="C1316" s="3"/>
    </row>
    <row r="1317" spans="2:3" x14ac:dyDescent="0.25">
      <c r="B1317" s="3"/>
      <c r="C1317" s="3"/>
    </row>
    <row r="1318" spans="2:3" x14ac:dyDescent="0.25">
      <c r="B1318" s="3"/>
      <c r="C1318" s="3"/>
    </row>
    <row r="1319" spans="2:3" x14ac:dyDescent="0.25">
      <c r="B1319" s="3"/>
      <c r="C1319" s="3"/>
    </row>
    <row r="1320" spans="2:3" x14ac:dyDescent="0.25">
      <c r="B1320" s="3"/>
      <c r="C1320" s="3"/>
    </row>
    <row r="1321" spans="2:3" x14ac:dyDescent="0.25">
      <c r="B1321" s="3"/>
      <c r="C1321" s="3"/>
    </row>
    <row r="1322" spans="2:3" x14ac:dyDescent="0.25">
      <c r="B1322" s="3"/>
      <c r="C1322" s="3"/>
    </row>
    <row r="1323" spans="2:3" x14ac:dyDescent="0.25">
      <c r="B1323" s="3"/>
      <c r="C1323" s="3"/>
    </row>
    <row r="1324" spans="2:3" x14ac:dyDescent="0.25">
      <c r="B1324" s="3"/>
      <c r="C1324" s="3"/>
    </row>
    <row r="1325" spans="2:3" x14ac:dyDescent="0.25">
      <c r="B1325" s="3"/>
      <c r="C1325" s="3"/>
    </row>
    <row r="1326" spans="2:3" x14ac:dyDescent="0.25">
      <c r="B1326" s="3"/>
      <c r="C1326" s="3"/>
    </row>
    <row r="1327" spans="2:3" x14ac:dyDescent="0.25">
      <c r="B1327" s="3"/>
      <c r="C1327" s="3"/>
    </row>
    <row r="1328" spans="2:3" x14ac:dyDescent="0.25">
      <c r="B1328" s="3"/>
      <c r="C1328" s="3"/>
    </row>
    <row r="1329" spans="2:3" x14ac:dyDescent="0.25">
      <c r="B1329" s="3"/>
      <c r="C1329" s="3"/>
    </row>
    <row r="1330" spans="2:3" x14ac:dyDescent="0.25">
      <c r="B1330" s="3"/>
      <c r="C1330" s="3"/>
    </row>
    <row r="1331" spans="2:3" x14ac:dyDescent="0.25">
      <c r="B1331" s="3"/>
      <c r="C1331" s="3"/>
    </row>
    <row r="1332" spans="2:3" x14ac:dyDescent="0.25">
      <c r="B1332" s="3"/>
      <c r="C1332" s="3"/>
    </row>
    <row r="1333" spans="2:3" x14ac:dyDescent="0.25">
      <c r="B1333" s="3"/>
      <c r="C1333" s="3"/>
    </row>
    <row r="1334" spans="2:3" x14ac:dyDescent="0.25">
      <c r="B1334" s="3"/>
      <c r="C1334" s="3"/>
    </row>
    <row r="1335" spans="2:3" x14ac:dyDescent="0.25">
      <c r="B1335" s="3"/>
      <c r="C1335" s="3"/>
    </row>
    <row r="1336" spans="2:3" x14ac:dyDescent="0.25">
      <c r="B1336" s="3"/>
      <c r="C1336" s="3"/>
    </row>
    <row r="1337" spans="2:3" x14ac:dyDescent="0.25">
      <c r="B1337" s="3"/>
      <c r="C1337" s="3"/>
    </row>
    <row r="1338" spans="2:3" x14ac:dyDescent="0.25">
      <c r="B1338" s="3"/>
      <c r="C1338" s="3"/>
    </row>
    <row r="1339" spans="2:3" x14ac:dyDescent="0.25">
      <c r="B1339" s="3"/>
      <c r="C1339" s="3"/>
    </row>
    <row r="1340" spans="2:3" x14ac:dyDescent="0.25">
      <c r="B1340" s="3"/>
      <c r="C1340" s="3"/>
    </row>
    <row r="1341" spans="2:3" x14ac:dyDescent="0.25">
      <c r="B1341" s="3"/>
      <c r="C1341" s="3"/>
    </row>
    <row r="1342" spans="2:3" x14ac:dyDescent="0.25">
      <c r="B1342" s="3"/>
      <c r="C1342" s="3"/>
    </row>
    <row r="1343" spans="2:3" x14ac:dyDescent="0.25">
      <c r="B1343" s="3"/>
      <c r="C1343" s="3"/>
    </row>
    <row r="1344" spans="2:3" x14ac:dyDescent="0.25">
      <c r="B1344" s="3"/>
      <c r="C1344" s="3"/>
    </row>
    <row r="1345" spans="2:3" x14ac:dyDescent="0.25">
      <c r="B1345" s="3"/>
      <c r="C1345" s="3"/>
    </row>
    <row r="1346" spans="2:3" x14ac:dyDescent="0.25">
      <c r="B1346" s="3"/>
      <c r="C1346" s="3"/>
    </row>
    <row r="1347" spans="2:3" x14ac:dyDescent="0.25">
      <c r="B1347" s="3"/>
      <c r="C1347" s="3"/>
    </row>
    <row r="1348" spans="2:3" x14ac:dyDescent="0.25">
      <c r="B1348" s="3"/>
      <c r="C1348" s="3"/>
    </row>
    <row r="1349" spans="2:3" x14ac:dyDescent="0.25">
      <c r="B1349" s="3"/>
      <c r="C1349" s="3"/>
    </row>
    <row r="1350" spans="2:3" x14ac:dyDescent="0.25">
      <c r="B1350" s="3"/>
      <c r="C1350" s="3"/>
    </row>
    <row r="1351" spans="2:3" x14ac:dyDescent="0.25">
      <c r="B1351" s="3"/>
      <c r="C1351" s="3"/>
    </row>
    <row r="1352" spans="2:3" x14ac:dyDescent="0.25">
      <c r="B1352" s="3"/>
      <c r="C1352" s="3"/>
    </row>
    <row r="1353" spans="2:3" x14ac:dyDescent="0.25">
      <c r="B1353" s="3"/>
      <c r="C1353" s="3"/>
    </row>
    <row r="1354" spans="2:3" x14ac:dyDescent="0.25">
      <c r="B1354" s="3"/>
      <c r="C1354" s="3"/>
    </row>
    <row r="1355" spans="2:3" x14ac:dyDescent="0.25">
      <c r="B1355" s="3"/>
      <c r="C1355" s="3"/>
    </row>
    <row r="1356" spans="2:3" x14ac:dyDescent="0.25">
      <c r="B1356" s="3"/>
      <c r="C1356" s="3"/>
    </row>
    <row r="1357" spans="2:3" x14ac:dyDescent="0.25">
      <c r="B1357" s="3"/>
      <c r="C1357" s="3"/>
    </row>
    <row r="1358" spans="2:3" x14ac:dyDescent="0.25">
      <c r="B1358" s="3"/>
      <c r="C1358" s="3"/>
    </row>
    <row r="1359" spans="2:3" x14ac:dyDescent="0.25">
      <c r="B1359" s="3"/>
      <c r="C1359" s="3"/>
    </row>
    <row r="1360" spans="2:3" x14ac:dyDescent="0.25">
      <c r="B1360" s="3"/>
      <c r="C1360" s="3"/>
    </row>
    <row r="1361" spans="2:3" x14ac:dyDescent="0.25">
      <c r="B1361" s="3"/>
      <c r="C1361" s="3"/>
    </row>
    <row r="1362" spans="2:3" x14ac:dyDescent="0.25">
      <c r="B1362" s="3"/>
      <c r="C1362" s="3"/>
    </row>
    <row r="1363" spans="2:3" x14ac:dyDescent="0.25">
      <c r="B1363" s="3"/>
      <c r="C1363" s="3"/>
    </row>
    <row r="1364" spans="2:3" x14ac:dyDescent="0.25">
      <c r="B1364" s="3"/>
      <c r="C1364" s="3"/>
    </row>
    <row r="1365" spans="2:3" x14ac:dyDescent="0.25">
      <c r="B1365" s="3"/>
      <c r="C1365" s="3"/>
    </row>
    <row r="1366" spans="2:3" x14ac:dyDescent="0.25">
      <c r="B1366" s="3"/>
      <c r="C1366" s="3"/>
    </row>
    <row r="1367" spans="2:3" x14ac:dyDescent="0.25">
      <c r="B1367" s="3"/>
      <c r="C1367" s="3"/>
    </row>
    <row r="1368" spans="2:3" x14ac:dyDescent="0.25">
      <c r="B1368" s="3"/>
      <c r="C1368" s="3"/>
    </row>
    <row r="1369" spans="2:3" x14ac:dyDescent="0.25">
      <c r="B1369" s="3"/>
      <c r="C1369" s="3"/>
    </row>
    <row r="1370" spans="2:3" x14ac:dyDescent="0.25">
      <c r="B1370" s="3"/>
      <c r="C1370" s="3"/>
    </row>
    <row r="1371" spans="2:3" x14ac:dyDescent="0.25">
      <c r="B1371" s="3"/>
      <c r="C1371" s="3"/>
    </row>
    <row r="1372" spans="2:3" x14ac:dyDescent="0.25">
      <c r="B1372" s="3"/>
      <c r="C1372" s="3"/>
    </row>
    <row r="1373" spans="2:3" x14ac:dyDescent="0.25">
      <c r="B1373" s="3"/>
      <c r="C1373" s="3"/>
    </row>
    <row r="1374" spans="2:3" x14ac:dyDescent="0.25">
      <c r="B1374" s="3"/>
      <c r="C1374" s="3"/>
    </row>
    <row r="1375" spans="2:3" x14ac:dyDescent="0.25">
      <c r="B1375" s="3"/>
      <c r="C1375" s="3"/>
    </row>
    <row r="1376" spans="2:3" x14ac:dyDescent="0.25">
      <c r="B1376" s="3"/>
      <c r="C1376" s="3"/>
    </row>
    <row r="1377" spans="2:3" x14ac:dyDescent="0.25">
      <c r="B1377" s="3"/>
      <c r="C1377" s="3"/>
    </row>
    <row r="1378" spans="2:3" x14ac:dyDescent="0.25">
      <c r="B1378" s="3"/>
      <c r="C1378" s="3"/>
    </row>
    <row r="1379" spans="2:3" x14ac:dyDescent="0.25">
      <c r="B1379" s="3"/>
      <c r="C1379" s="3"/>
    </row>
    <row r="1380" spans="2:3" x14ac:dyDescent="0.25">
      <c r="B1380" s="3"/>
      <c r="C1380" s="3"/>
    </row>
    <row r="1381" spans="2:3" x14ac:dyDescent="0.25">
      <c r="B1381" s="3"/>
      <c r="C1381" s="3"/>
    </row>
    <row r="1382" spans="2:3" x14ac:dyDescent="0.25">
      <c r="B1382" s="3"/>
      <c r="C1382" s="3"/>
    </row>
    <row r="1383" spans="2:3" x14ac:dyDescent="0.25">
      <c r="B1383" s="3"/>
      <c r="C1383" s="3"/>
    </row>
    <row r="1384" spans="2:3" x14ac:dyDescent="0.25">
      <c r="B1384" s="3"/>
      <c r="C1384" s="3"/>
    </row>
    <row r="1385" spans="2:3" x14ac:dyDescent="0.25">
      <c r="B1385" s="3"/>
      <c r="C1385" s="3"/>
    </row>
    <row r="1386" spans="2:3" x14ac:dyDescent="0.25">
      <c r="B1386" s="3"/>
      <c r="C1386" s="3"/>
    </row>
    <row r="1387" spans="2:3" x14ac:dyDescent="0.25">
      <c r="B1387" s="3"/>
      <c r="C1387" s="3"/>
    </row>
    <row r="1388" spans="2:3" x14ac:dyDescent="0.25">
      <c r="B1388" s="3"/>
      <c r="C1388" s="3"/>
    </row>
    <row r="1389" spans="2:3" x14ac:dyDescent="0.25">
      <c r="B1389" s="3"/>
      <c r="C1389" s="3"/>
    </row>
    <row r="1390" spans="2:3" x14ac:dyDescent="0.25">
      <c r="B1390" s="3"/>
      <c r="C1390" s="3"/>
    </row>
    <row r="1391" spans="2:3" x14ac:dyDescent="0.25">
      <c r="B1391" s="3"/>
      <c r="C1391" s="3"/>
    </row>
    <row r="1392" spans="2:3" x14ac:dyDescent="0.25">
      <c r="B1392" s="3"/>
      <c r="C1392" s="3"/>
    </row>
    <row r="1393" spans="2:3" x14ac:dyDescent="0.25">
      <c r="B1393" s="3"/>
      <c r="C1393" s="3"/>
    </row>
    <row r="1394" spans="2:3" x14ac:dyDescent="0.25">
      <c r="B1394" s="3"/>
      <c r="C1394" s="3"/>
    </row>
    <row r="1395" spans="2:3" x14ac:dyDescent="0.25">
      <c r="B1395" s="3"/>
      <c r="C1395" s="3"/>
    </row>
    <row r="1396" spans="2:3" x14ac:dyDescent="0.25">
      <c r="B1396" s="3"/>
      <c r="C1396" s="3"/>
    </row>
  </sheetData>
  <conditionalFormatting sqref="W1:W1048576">
    <cfRule type="expression" dxfId="0" priority="1">
      <formula>B1&lt;&gt;W1</formula>
    </cfRule>
  </conditionalFormatting>
  <dataValidations count="1">
    <dataValidation type="list" allowBlank="1" showInputMessage="1" showErrorMessage="1" sqref="AB1" xr:uid="{9D1AB444-3B5A-4E96-98C2-508C3F5DE220}">
      <formula1>"12D, 1d_nwk"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B241"/>
  <sheetViews>
    <sheetView tabSelected="1" workbookViewId="0">
      <selection activeCell="W3" sqref="W3"/>
    </sheetView>
  </sheetViews>
  <sheetFormatPr defaultRowHeight="15" x14ac:dyDescent="0.25"/>
  <cols>
    <col min="3" max="3" width="3.85546875" customWidth="1"/>
    <col min="4" max="4" width="16" bestFit="1" customWidth="1"/>
    <col min="5" max="9" width="3.85546875" customWidth="1"/>
    <col min="10" max="10" width="9" customWidth="1"/>
    <col min="11" max="11" width="8.28515625" customWidth="1"/>
    <col min="12" max="12" width="9" customWidth="1"/>
    <col min="13" max="13" width="10" customWidth="1"/>
    <col min="14" max="14" width="13.85546875" bestFit="1" customWidth="1"/>
    <col min="15" max="15" width="12.5703125" bestFit="1" customWidth="1"/>
    <col min="16" max="16" width="9.85546875" customWidth="1"/>
    <col min="17" max="17" width="8.28515625" customWidth="1"/>
    <col min="18" max="18" width="14.140625" customWidth="1"/>
    <col min="19" max="19" width="14.5703125" customWidth="1"/>
    <col min="27" max="27" width="13.140625" bestFit="1" customWidth="1"/>
  </cols>
  <sheetData>
    <row r="1" spans="1:28" x14ac:dyDescent="0.25">
      <c r="A1" t="s">
        <v>164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96</v>
      </c>
      <c r="K1" t="s">
        <v>46</v>
      </c>
      <c r="L1" t="s">
        <v>32</v>
      </c>
      <c r="M1" t="s">
        <v>33</v>
      </c>
      <c r="N1" t="s">
        <v>102</v>
      </c>
      <c r="O1" t="s">
        <v>0</v>
      </c>
      <c r="P1" t="s">
        <v>17</v>
      </c>
      <c r="Q1" t="s">
        <v>34</v>
      </c>
      <c r="R1" t="s">
        <v>15</v>
      </c>
      <c r="S1" t="s">
        <v>16</v>
      </c>
      <c r="T1" t="s">
        <v>49</v>
      </c>
      <c r="U1" t="s">
        <v>50</v>
      </c>
      <c r="AA1" t="s">
        <v>47</v>
      </c>
      <c r="AB1" t="s">
        <v>44</v>
      </c>
    </row>
    <row r="2" spans="1:28" x14ac:dyDescent="0.25">
      <c r="A2" cm="1">
        <f t="array" aca="1" ref="A2:A241" ca="1">_xlfn._xlws.FILTER(ROW(B:B),ROW(B:B)&lt;=$AB$13-1)</f>
        <v>1</v>
      </c>
      <c r="B2" t="str" cm="1">
        <f t="array" aca="1" ref="B2:B241" ca="1">IF(MOD(_xlfn.ANCHORARRAY(A2)+1,4)&gt;=2,External,Connection)</f>
        <v>SX</v>
      </c>
      <c r="C2" t="str" cm="1">
        <f t="array" aca="1" ref="C2:C241" ca="1">IF(_xlfn.ANCHORARRAY(A2),Flags)</f>
        <v>Z</v>
      </c>
      <c r="D2" t="str" cm="1">
        <f t="array" aca="1" ref="D2:D241" ca="1">_xlfn.ANCHORARRAY(N2)&amp;"_"&amp;IF(_xlfn.ANCHORARRAY(P2),"D","U")</f>
        <v>R-1_U</v>
      </c>
      <c r="E2" cm="1">
        <f t="array" aca="1" ref="E2:E241" ca="1">IF(_xlfn.ANCHORARRAY(A2),f)</f>
        <v>0</v>
      </c>
      <c r="F2" cm="1">
        <f t="array" aca="1" ref="F2:F241" ca="1">IF(_xlfn.ANCHORARRAY(A2),d)</f>
        <v>0</v>
      </c>
      <c r="G2" cm="1">
        <f t="array" aca="1" ref="G2:G241" ca="1">IF(_xlfn.ANCHORARRAY(A2),td)</f>
        <v>0</v>
      </c>
      <c r="H2" cm="1">
        <f t="array" aca="1" ref="H2:H241" ca="1">IF(_xlfn.ANCHORARRAY(A2),a)</f>
        <v>0</v>
      </c>
      <c r="I2" cm="1">
        <f t="array" aca="1" ref="I2:I241" ca="1">IF(_xlfn.ANCHORARRAY(A2),b)</f>
        <v>0</v>
      </c>
      <c r="J2" cm="1">
        <f t="array" aca="1" ref="J2:J241" ca="1">INT((ROW(_xlfn.ANCHORARRAY(B2))-2)/2)+1</f>
        <v>1</v>
      </c>
      <c r="K2" cm="1">
        <f t="array" aca="1" ref="K2:K241" ca="1">MOD((ROW(_xlfn.ANCHORARRAY(A2))-2),2)</f>
        <v>0</v>
      </c>
      <c r="L2" cm="1">
        <f t="array" aca="1" ref="L2:L241" ca="1">_xlfn.ANCHORARRAY(T2)+
IF(_xlfn.ANCHORARRAY(K2)&gt;0,1,IF(_xlfn.ANCHORARRAY(B2)=External,1,0))*(COS(_xlfn.ANCHORARRAY($Q2))*_xlfn.ANCHORARRAY($S2)+
IF(_xlfn.ANCHORARRAY($K2)=1,-0.5,0.5)*_xlfn.ANCHORARRAY($R2)*SIN(_xlfn.ANCHORARRAY($Q2)))*IF(_xlfn.ANCHORARRAY(K2)=1,1,IF(_xlfn.ANCHORARRAY(B2)=External,1,0))</f>
        <v>687315.23873115657</v>
      </c>
      <c r="M2" cm="1">
        <f t="array" aca="1" ref="M2:M241" ca="1">_xlfn.ANCHORARRAY(U2)+
IF(_xlfn.ANCHORARRAY(K2)&gt;0,1,IF(_xlfn.ANCHORARRAY(B2)=External,1,0))*(SIN(_xlfn.ANCHORARRAY($Q2))*_xlfn.ANCHORARRAY($S2)-
IF(_xlfn.ANCHORARRAY($K2)=1,-0.5,0.5)*_xlfn.ANCHORARRAY($R2)*COS(_xlfn.ANCHORARRAY($Q2)))</f>
        <v>7565092.333254843</v>
      </c>
      <c r="N2" t="str" cm="1">
        <f t="array" aca="1" ref="N2:N241" ca="1">INDEX(_xlfn.ANCHORARRAY('PointsTidy - master'!W4),INT((_xlfn.ANCHORARRAY(A2)-1)/4)+1)</f>
        <v>R-1</v>
      </c>
      <c r="O2" t="str" cm="1">
        <f t="array" aca="1" ref="O2:O241" ca="1">INDEX(_xlfn.ANCHORARRAY('PointsTidy - master'!B4),INT((_xlfn.ANCHORARRAY(A2)-1)/4)+1)</f>
        <v>R-1</v>
      </c>
      <c r="P2" cm="1">
        <f t="array" aca="1" ref="P2:P241" ca="1">IF(_xlfn.ANCHORARRAY(A2),IF(MOD(_xlfn.ANCHORARRAY(A2)-1,8)&gt;3,1,0))</f>
        <v>0</v>
      </c>
      <c r="Q2" cm="1">
        <f t="array" aca="1" ref="Q2:Q241" ca="1">AVERAGEIFS(_xlfn.ANCHORARRAY('2d_zsh'!N2),_xlfn.ANCHORARRAY('2d_zsh'!L2),_xlfn.ANCHORARRAY(O2),_xlfn.ANCHORARRAY('2d_zsh'!M2),_xlfn.ANCHORARRAY(P2))</f>
        <v>-0.42729998804452407</v>
      </c>
      <c r="R2" s="2" cm="1">
        <f t="array" aca="1" ref="R2:R241" ca="1">IF(_xlfn.ANCHORARRAY(A2),AVERAGEIFS(_xlfn.ANCHORARRAY('2d_zsh'!AC2),_xlfn.ANCHORARRAY('2d_zsh'!L2),_xlfn.ANCHORARRAY(O2),_xlfn.ANCHORARRAY('2d_zsh'!M2),_xlfn.ANCHORARRAY(P2))*WidthFactor,MinLength)</f>
        <v>8.259999999999998</v>
      </c>
      <c r="S2" cm="1">
        <f t="array" aca="1" ref="S2:S241" ca="1">IF(_xlfn.ANCHORARRAY(A2),AVERAGEIFS(_xlfn.ANCHORARRAY('2d_zsh'!AD2),_xlfn.ANCHORARRAY('2d_zsh'!L2),_xlfn.ANCHORARRAY(O2),_xlfn.ANCHORARRAY('2d_zsh'!M2),_xlfn.ANCHORARRAY(P2))*LengthFactor)</f>
        <v>0.64000000000000012</v>
      </c>
      <c r="T2" cm="1">
        <f t="array" aca="1" ref="T2:T241" ca="1">SUMIFS(_xlfn.ANCHORARRAY('PointsTidy - master'!L4),_xlfn.ANCHORARRAY('PointsTidy - master'!$B4),_xlfn.ANCHORARRAY(O2),_xlfn.ANCHORARRAY('PointsTidy - master'!$D4),_xlfn.ANCHORARRAY($P2))</f>
        <v>687316.36780907097</v>
      </c>
      <c r="U2" cm="1">
        <f t="array" aca="1" ref="U2:U241" ca="1">SUMIFS(_xlfn.ANCHORARRAY('PointsTidy - master'!M4),_xlfn.ANCHORARRAY('PointsTidy - master'!$B4),_xlfn.ANCHORARRAY($O2),_xlfn.ANCHORARRAY('PointsTidy - master'!$D4),_xlfn.ANCHORARRAY($P2))</f>
        <v>7565096.3571438901</v>
      </c>
      <c r="AA2" t="s">
        <v>48</v>
      </c>
      <c r="AB2" t="s">
        <v>45</v>
      </c>
    </row>
    <row r="3" spans="1:28" x14ac:dyDescent="0.25">
      <c r="A3">
        <f ca="1"/>
        <v>2</v>
      </c>
      <c r="B3" t="str">
        <f ca="1"/>
        <v>SX</v>
      </c>
      <c r="C3" t="str">
        <f ca="1"/>
        <v>Z</v>
      </c>
      <c r="D3" t="str">
        <f ca="1"/>
        <v>R-1_U</v>
      </c>
      <c r="E3">
        <f ca="1"/>
        <v>0</v>
      </c>
      <c r="F3">
        <f ca="1"/>
        <v>0</v>
      </c>
      <c r="G3">
        <f ca="1"/>
        <v>0</v>
      </c>
      <c r="H3">
        <f ca="1"/>
        <v>0</v>
      </c>
      <c r="I3">
        <f ca="1"/>
        <v>0</v>
      </c>
      <c r="J3">
        <f ca="1"/>
        <v>1</v>
      </c>
      <c r="K3">
        <f ca="1"/>
        <v>1</v>
      </c>
      <c r="L3">
        <f ca="1"/>
        <v>687318.6617996142</v>
      </c>
      <c r="M3">
        <f ca="1"/>
        <v>7565099.8505816506</v>
      </c>
      <c r="N3" t="str">
        <f ca="1"/>
        <v>R-1</v>
      </c>
      <c r="O3" t="str">
        <f ca="1"/>
        <v>R-1</v>
      </c>
      <c r="P3">
        <f ca="1"/>
        <v>0</v>
      </c>
      <c r="Q3">
        <f ca="1"/>
        <v>-0.42729998804452407</v>
      </c>
      <c r="R3" s="2">
        <f ca="1"/>
        <v>8.259999999999998</v>
      </c>
      <c r="S3">
        <f ca="1"/>
        <v>0.64000000000000012</v>
      </c>
      <c r="T3">
        <f ca="1"/>
        <v>687316.36780907097</v>
      </c>
      <c r="U3">
        <f ca="1"/>
        <v>7565096.3571438901</v>
      </c>
      <c r="AA3" t="s">
        <v>37</v>
      </c>
      <c r="AB3" t="s">
        <v>18</v>
      </c>
    </row>
    <row r="4" spans="1:28" x14ac:dyDescent="0.25">
      <c r="A4">
        <f ca="1"/>
        <v>3</v>
      </c>
      <c r="B4" t="str">
        <f ca="1"/>
        <v>CN</v>
      </c>
      <c r="C4" t="str">
        <f ca="1"/>
        <v>Z</v>
      </c>
      <c r="D4" t="str">
        <f ca="1"/>
        <v>R-1_U</v>
      </c>
      <c r="E4">
        <f ca="1"/>
        <v>0</v>
      </c>
      <c r="F4">
        <f ca="1"/>
        <v>0</v>
      </c>
      <c r="G4">
        <f ca="1"/>
        <v>0</v>
      </c>
      <c r="H4">
        <f ca="1"/>
        <v>0</v>
      </c>
      <c r="I4">
        <f ca="1"/>
        <v>0</v>
      </c>
      <c r="J4">
        <f ca="1"/>
        <v>2</v>
      </c>
      <c r="K4">
        <f ca="1"/>
        <v>0</v>
      </c>
      <c r="L4">
        <f ca="1"/>
        <v>687316.36780907097</v>
      </c>
      <c r="M4">
        <f ca="1"/>
        <v>7565096.3571438901</v>
      </c>
      <c r="N4" t="str">
        <f ca="1"/>
        <v>R-1</v>
      </c>
      <c r="O4" t="str">
        <f ca="1"/>
        <v>R-1</v>
      </c>
      <c r="P4">
        <f ca="1"/>
        <v>0</v>
      </c>
      <c r="Q4">
        <f ca="1"/>
        <v>-0.42729998804452407</v>
      </c>
      <c r="R4" s="2">
        <f ca="1"/>
        <v>8.259999999999998</v>
      </c>
      <c r="S4">
        <f ca="1"/>
        <v>0.64000000000000012</v>
      </c>
      <c r="T4">
        <f ca="1"/>
        <v>687316.36780907097</v>
      </c>
      <c r="U4">
        <f ca="1"/>
        <v>7565096.3571438901</v>
      </c>
      <c r="AA4" t="s">
        <v>38</v>
      </c>
      <c r="AB4" t="str">
        <f>""</f>
        <v/>
      </c>
    </row>
    <row r="5" spans="1:28" x14ac:dyDescent="0.25">
      <c r="A5">
        <f ca="1"/>
        <v>4</v>
      </c>
      <c r="B5" t="str">
        <f ca="1"/>
        <v>CN</v>
      </c>
      <c r="C5" t="str">
        <f ca="1"/>
        <v>Z</v>
      </c>
      <c r="D5" t="str">
        <f ca="1"/>
        <v>R-1_U</v>
      </c>
      <c r="E5">
        <f ca="1"/>
        <v>0</v>
      </c>
      <c r="F5">
        <f ca="1"/>
        <v>0</v>
      </c>
      <c r="G5">
        <f ca="1"/>
        <v>0</v>
      </c>
      <c r="H5">
        <f ca="1"/>
        <v>0</v>
      </c>
      <c r="I5">
        <f ca="1"/>
        <v>0</v>
      </c>
      <c r="J5">
        <f ca="1"/>
        <v>2</v>
      </c>
      <c r="K5">
        <f ca="1"/>
        <v>1</v>
      </c>
      <c r="L5">
        <f ca="1"/>
        <v>687318.6617996142</v>
      </c>
      <c r="M5">
        <f ca="1"/>
        <v>7565099.8505816506</v>
      </c>
      <c r="N5" t="str">
        <f ca="1"/>
        <v>R-1</v>
      </c>
      <c r="O5" t="str">
        <f ca="1"/>
        <v>R-1</v>
      </c>
      <c r="P5">
        <f ca="1"/>
        <v>0</v>
      </c>
      <c r="Q5">
        <f ca="1"/>
        <v>-0.42729998804452407</v>
      </c>
      <c r="R5" s="2">
        <f ca="1"/>
        <v>8.259999999999998</v>
      </c>
      <c r="S5">
        <f ca="1"/>
        <v>0.64000000000000012</v>
      </c>
      <c r="T5">
        <f ca="1"/>
        <v>687316.36780907097</v>
      </c>
      <c r="U5">
        <f ca="1"/>
        <v>7565096.3571438901</v>
      </c>
      <c r="AA5" t="s">
        <v>39</v>
      </c>
      <c r="AB5">
        <v>0</v>
      </c>
    </row>
    <row r="6" spans="1:28" x14ac:dyDescent="0.25">
      <c r="A6">
        <f ca="1"/>
        <v>5</v>
      </c>
      <c r="B6" t="str">
        <f ca="1"/>
        <v>SX</v>
      </c>
      <c r="C6" t="str">
        <f ca="1"/>
        <v>Z</v>
      </c>
      <c r="D6" t="str">
        <f ca="1"/>
        <v>R-1_D</v>
      </c>
      <c r="E6">
        <f ca="1"/>
        <v>0</v>
      </c>
      <c r="F6">
        <f ca="1"/>
        <v>0</v>
      </c>
      <c r="G6">
        <f ca="1"/>
        <v>0</v>
      </c>
      <c r="H6">
        <f ca="1"/>
        <v>0</v>
      </c>
      <c r="I6">
        <f ca="1"/>
        <v>0</v>
      </c>
      <c r="J6">
        <f ca="1"/>
        <v>3</v>
      </c>
      <c r="K6">
        <f ca="1"/>
        <v>0</v>
      </c>
      <c r="L6">
        <f ca="1"/>
        <v>687241.60006114945</v>
      </c>
      <c r="M6">
        <f ca="1"/>
        <v>7565134.9411947075</v>
      </c>
      <c r="N6" t="str">
        <f ca="1"/>
        <v>R-1</v>
      </c>
      <c r="O6" t="str">
        <f ca="1"/>
        <v>R-1</v>
      </c>
      <c r="P6">
        <f ca="1"/>
        <v>1</v>
      </c>
      <c r="Q6">
        <f ca="1"/>
        <v>2.714292665545269</v>
      </c>
      <c r="R6" s="2">
        <f ca="1"/>
        <v>8.259999999999998</v>
      </c>
      <c r="S6">
        <f ca="1"/>
        <v>0.64000000000000012</v>
      </c>
      <c r="T6">
        <f ca="1"/>
        <v>687240.47098323505</v>
      </c>
      <c r="U6">
        <f ca="1"/>
        <v>7565130.9173056604</v>
      </c>
      <c r="AA6" t="s">
        <v>40</v>
      </c>
      <c r="AB6">
        <v>0</v>
      </c>
    </row>
    <row r="7" spans="1:28" x14ac:dyDescent="0.25">
      <c r="A7">
        <f ca="1"/>
        <v>6</v>
      </c>
      <c r="B7" t="str">
        <f ca="1"/>
        <v>SX</v>
      </c>
      <c r="C7" t="str">
        <f ca="1"/>
        <v>Z</v>
      </c>
      <c r="D7" t="str">
        <f ca="1"/>
        <v>R-1_D</v>
      </c>
      <c r="E7">
        <f ca="1"/>
        <v>0</v>
      </c>
      <c r="F7">
        <f ca="1"/>
        <v>0</v>
      </c>
      <c r="G7">
        <f ca="1"/>
        <v>0</v>
      </c>
      <c r="H7">
        <f ca="1"/>
        <v>0</v>
      </c>
      <c r="I7">
        <f ca="1"/>
        <v>0</v>
      </c>
      <c r="J7">
        <f ca="1"/>
        <v>3</v>
      </c>
      <c r="K7">
        <f ca="1"/>
        <v>1</v>
      </c>
      <c r="L7">
        <f ca="1"/>
        <v>687238.17699269182</v>
      </c>
      <c r="M7">
        <f ca="1"/>
        <v>7565127.4238678999</v>
      </c>
      <c r="N7" t="str">
        <f ca="1"/>
        <v>R-1</v>
      </c>
      <c r="O7" t="str">
        <f ca="1"/>
        <v>R-1</v>
      </c>
      <c r="P7">
        <f ca="1"/>
        <v>1</v>
      </c>
      <c r="Q7">
        <f ca="1"/>
        <v>2.714292665545269</v>
      </c>
      <c r="R7" s="2">
        <f ca="1"/>
        <v>8.259999999999998</v>
      </c>
      <c r="S7">
        <f ca="1"/>
        <v>0.64000000000000012</v>
      </c>
      <c r="T7">
        <f ca="1"/>
        <v>687240.47098323505</v>
      </c>
      <c r="U7">
        <f ca="1"/>
        <v>7565130.9173056604</v>
      </c>
      <c r="AA7" t="s">
        <v>41</v>
      </c>
      <c r="AB7">
        <v>0</v>
      </c>
    </row>
    <row r="8" spans="1:28" x14ac:dyDescent="0.25">
      <c r="A8">
        <f ca="1"/>
        <v>7</v>
      </c>
      <c r="B8" t="str">
        <f ca="1"/>
        <v>CN</v>
      </c>
      <c r="C8" t="str">
        <f ca="1"/>
        <v>Z</v>
      </c>
      <c r="D8" t="str">
        <f ca="1"/>
        <v>R-1_D</v>
      </c>
      <c r="E8">
        <f ca="1"/>
        <v>0</v>
      </c>
      <c r="F8">
        <f ca="1"/>
        <v>0</v>
      </c>
      <c r="G8">
        <f ca="1"/>
        <v>0</v>
      </c>
      <c r="H8">
        <f ca="1"/>
        <v>0</v>
      </c>
      <c r="I8">
        <f ca="1"/>
        <v>0</v>
      </c>
      <c r="J8">
        <f ca="1"/>
        <v>4</v>
      </c>
      <c r="K8">
        <f ca="1"/>
        <v>0</v>
      </c>
      <c r="L8">
        <f ca="1"/>
        <v>687240.47098323505</v>
      </c>
      <c r="M8">
        <f ca="1"/>
        <v>7565130.9173056604</v>
      </c>
      <c r="N8" t="str">
        <f ca="1"/>
        <v>R-1</v>
      </c>
      <c r="O8" t="str">
        <f ca="1"/>
        <v>R-1</v>
      </c>
      <c r="P8">
        <f ca="1"/>
        <v>1</v>
      </c>
      <c r="Q8">
        <f ca="1"/>
        <v>2.714292665545269</v>
      </c>
      <c r="R8" s="2">
        <f ca="1"/>
        <v>8.259999999999998</v>
      </c>
      <c r="S8">
        <f ca="1"/>
        <v>0.64000000000000012</v>
      </c>
      <c r="T8">
        <f ca="1"/>
        <v>687240.47098323505</v>
      </c>
      <c r="U8">
        <f ca="1"/>
        <v>7565130.9173056604</v>
      </c>
      <c r="AA8" t="s">
        <v>42</v>
      </c>
      <c r="AB8">
        <v>0</v>
      </c>
    </row>
    <row r="9" spans="1:28" x14ac:dyDescent="0.25">
      <c r="A9">
        <f ca="1"/>
        <v>8</v>
      </c>
      <c r="B9" t="str">
        <f ca="1"/>
        <v>CN</v>
      </c>
      <c r="C9" t="str">
        <f ca="1"/>
        <v>Z</v>
      </c>
      <c r="D9" t="str">
        <f ca="1"/>
        <v>R-1_D</v>
      </c>
      <c r="E9">
        <f ca="1"/>
        <v>0</v>
      </c>
      <c r="F9">
        <f ca="1"/>
        <v>0</v>
      </c>
      <c r="G9">
        <f ca="1"/>
        <v>0</v>
      </c>
      <c r="H9">
        <f ca="1"/>
        <v>0</v>
      </c>
      <c r="I9">
        <f ca="1"/>
        <v>0</v>
      </c>
      <c r="J9">
        <f ca="1"/>
        <v>4</v>
      </c>
      <c r="K9">
        <f ca="1"/>
        <v>1</v>
      </c>
      <c r="L9">
        <f ca="1"/>
        <v>687238.17699269182</v>
      </c>
      <c r="M9">
        <f ca="1"/>
        <v>7565127.4238678999</v>
      </c>
      <c r="N9" t="str">
        <f ca="1"/>
        <v>R-1</v>
      </c>
      <c r="O9" t="str">
        <f ca="1"/>
        <v>R-1</v>
      </c>
      <c r="P9">
        <f ca="1"/>
        <v>1</v>
      </c>
      <c r="Q9">
        <f ca="1"/>
        <v>2.714292665545269</v>
      </c>
      <c r="R9" s="2">
        <f ca="1"/>
        <v>8.259999999999998</v>
      </c>
      <c r="S9">
        <f ca="1"/>
        <v>0.64000000000000012</v>
      </c>
      <c r="T9">
        <f ca="1"/>
        <v>687240.47098323505</v>
      </c>
      <c r="U9">
        <f ca="1"/>
        <v>7565130.9173056604</v>
      </c>
      <c r="AA9" t="s">
        <v>43</v>
      </c>
      <c r="AB9">
        <v>0</v>
      </c>
    </row>
    <row r="10" spans="1:28" x14ac:dyDescent="0.25">
      <c r="A10">
        <f ca="1"/>
        <v>9</v>
      </c>
      <c r="B10" t="str">
        <f ca="1"/>
        <v>SX</v>
      </c>
      <c r="C10" t="str">
        <f ca="1"/>
        <v>Z</v>
      </c>
      <c r="D10" t="str">
        <f ca="1"/>
        <v>R-10_U</v>
      </c>
      <c r="E10">
        <f ca="1"/>
        <v>0</v>
      </c>
      <c r="F10">
        <f ca="1"/>
        <v>0</v>
      </c>
      <c r="G10">
        <f ca="1"/>
        <v>0</v>
      </c>
      <c r="H10">
        <f ca="1"/>
        <v>0</v>
      </c>
      <c r="I10">
        <f ca="1"/>
        <v>0</v>
      </c>
      <c r="J10">
        <f ca="1"/>
        <v>5</v>
      </c>
      <c r="K10">
        <f ca="1"/>
        <v>0</v>
      </c>
      <c r="L10">
        <f ca="1"/>
        <v>691801.06632051629</v>
      </c>
      <c r="M10">
        <f ca="1"/>
        <v>7569980.5257938793</v>
      </c>
      <c r="N10" t="str">
        <f ca="1"/>
        <v>R-10</v>
      </c>
      <c r="O10" t="str">
        <f ca="1"/>
        <v>R-10</v>
      </c>
      <c r="P10">
        <f ca="1"/>
        <v>0</v>
      </c>
      <c r="Q10">
        <f ca="1"/>
        <v>-0.51764910942118902</v>
      </c>
      <c r="R10" s="2">
        <f ca="1"/>
        <v>3.2199999999999998</v>
      </c>
      <c r="S10">
        <f ca="1"/>
        <v>0.64000000000000012</v>
      </c>
      <c r="T10">
        <f ca="1"/>
        <v>691801.30686036195</v>
      </c>
      <c r="U10">
        <f ca="1"/>
        <v>7569982.24155627</v>
      </c>
      <c r="AA10" t="s">
        <v>51</v>
      </c>
      <c r="AB10">
        <v>0.4</v>
      </c>
    </row>
    <row r="11" spans="1:28" x14ac:dyDescent="0.25">
      <c r="A11">
        <f ca="1"/>
        <v>10</v>
      </c>
      <c r="B11" t="str">
        <f ca="1"/>
        <v>SX</v>
      </c>
      <c r="C11" t="str">
        <f ca="1"/>
        <v>Z</v>
      </c>
      <c r="D11" t="str">
        <f ca="1"/>
        <v>R-10_U</v>
      </c>
      <c r="E11">
        <f ca="1"/>
        <v>0</v>
      </c>
      <c r="F11">
        <f ca="1"/>
        <v>0</v>
      </c>
      <c r="G11">
        <f ca="1"/>
        <v>0</v>
      </c>
      <c r="H11">
        <f ca="1"/>
        <v>0</v>
      </c>
      <c r="I11">
        <f ca="1"/>
        <v>0</v>
      </c>
      <c r="J11">
        <f ca="1"/>
        <v>5</v>
      </c>
      <c r="K11">
        <f ca="1"/>
        <v>1</v>
      </c>
      <c r="L11">
        <f ca="1"/>
        <v>691802.65970086853</v>
      </c>
      <c r="M11">
        <f ca="1"/>
        <v>7569983.3239252288</v>
      </c>
      <c r="N11" t="str">
        <f ca="1"/>
        <v>R-10</v>
      </c>
      <c r="O11" t="str">
        <f ca="1"/>
        <v>R-10</v>
      </c>
      <c r="P11">
        <f ca="1"/>
        <v>0</v>
      </c>
      <c r="Q11">
        <f ca="1"/>
        <v>-0.51764910942118902</v>
      </c>
      <c r="R11" s="2">
        <f ca="1"/>
        <v>3.2199999999999998</v>
      </c>
      <c r="S11">
        <f ca="1"/>
        <v>0.64000000000000012</v>
      </c>
      <c r="T11">
        <f ca="1"/>
        <v>691801.30686036195</v>
      </c>
      <c r="U11">
        <f ca="1"/>
        <v>7569982.24155627</v>
      </c>
      <c r="AA11" t="s">
        <v>52</v>
      </c>
      <c r="AB11">
        <v>0.7</v>
      </c>
    </row>
    <row r="12" spans="1:28" x14ac:dyDescent="0.25">
      <c r="A12">
        <f ca="1"/>
        <v>11</v>
      </c>
      <c r="B12" t="str">
        <f ca="1"/>
        <v>CN</v>
      </c>
      <c r="C12" t="str">
        <f ca="1"/>
        <v>Z</v>
      </c>
      <c r="D12" t="str">
        <f ca="1"/>
        <v>R-10_U</v>
      </c>
      <c r="E12">
        <f ca="1"/>
        <v>0</v>
      </c>
      <c r="F12">
        <f ca="1"/>
        <v>0</v>
      </c>
      <c r="G12">
        <f ca="1"/>
        <v>0</v>
      </c>
      <c r="H12">
        <f ca="1"/>
        <v>0</v>
      </c>
      <c r="I12">
        <f ca="1"/>
        <v>0</v>
      </c>
      <c r="J12">
        <f ca="1"/>
        <v>6</v>
      </c>
      <c r="K12">
        <f ca="1"/>
        <v>0</v>
      </c>
      <c r="L12">
        <f ca="1"/>
        <v>691801.30686036195</v>
      </c>
      <c r="M12">
        <f ca="1"/>
        <v>7569982.24155627</v>
      </c>
      <c r="N12" t="str">
        <f ca="1"/>
        <v>R-10</v>
      </c>
      <c r="O12" t="str">
        <f ca="1"/>
        <v>R-10</v>
      </c>
      <c r="P12">
        <f ca="1"/>
        <v>0</v>
      </c>
      <c r="Q12">
        <f ca="1"/>
        <v>-0.51764910942118902</v>
      </c>
      <c r="R12" s="2">
        <f ca="1"/>
        <v>3.2199999999999998</v>
      </c>
      <c r="S12">
        <f ca="1"/>
        <v>0.64000000000000012</v>
      </c>
      <c r="T12">
        <f ca="1"/>
        <v>691801.30686036195</v>
      </c>
      <c r="U12">
        <f ca="1"/>
        <v>7569982.24155627</v>
      </c>
      <c r="AA12" t="s">
        <v>53</v>
      </c>
      <c r="AB12">
        <f ca="1">COUNTA(_xlfn.UNIQUE(_xlfn.ANCHORARRAY('PointsTidy - master'!B4)))*2</f>
        <v>60</v>
      </c>
    </row>
    <row r="13" spans="1:28" x14ac:dyDescent="0.25">
      <c r="A13">
        <f ca="1"/>
        <v>12</v>
      </c>
      <c r="B13" t="str">
        <f ca="1"/>
        <v>CN</v>
      </c>
      <c r="C13" t="str">
        <f ca="1"/>
        <v>Z</v>
      </c>
      <c r="D13" t="str">
        <f ca="1"/>
        <v>R-10_U</v>
      </c>
      <c r="E13">
        <f ca="1"/>
        <v>0</v>
      </c>
      <c r="F13">
        <f ca="1"/>
        <v>0</v>
      </c>
      <c r="G13">
        <f ca="1"/>
        <v>0</v>
      </c>
      <c r="H13">
        <f ca="1"/>
        <v>0</v>
      </c>
      <c r="I13">
        <f ca="1"/>
        <v>0</v>
      </c>
      <c r="J13">
        <f ca="1"/>
        <v>6</v>
      </c>
      <c r="K13">
        <f ca="1"/>
        <v>1</v>
      </c>
      <c r="L13">
        <f ca="1"/>
        <v>691802.65970086853</v>
      </c>
      <c r="M13">
        <f ca="1"/>
        <v>7569983.3239252288</v>
      </c>
      <c r="N13" t="str">
        <f ca="1"/>
        <v>R-10</v>
      </c>
      <c r="O13" t="str">
        <f ca="1"/>
        <v>R-10</v>
      </c>
      <c r="P13">
        <f ca="1"/>
        <v>0</v>
      </c>
      <c r="Q13">
        <f ca="1"/>
        <v>-0.51764910942118902</v>
      </c>
      <c r="R13" s="2">
        <f ca="1"/>
        <v>3.2199999999999998</v>
      </c>
      <c r="S13">
        <f ca="1"/>
        <v>0.64000000000000012</v>
      </c>
      <c r="T13">
        <f ca="1"/>
        <v>691801.30686036195</v>
      </c>
      <c r="U13">
        <f ca="1"/>
        <v>7569982.24155627</v>
      </c>
      <c r="AA13" t="s">
        <v>54</v>
      </c>
      <c r="AB13">
        <f ca="1">AB12*4+1</f>
        <v>241</v>
      </c>
    </row>
    <row r="14" spans="1:28" x14ac:dyDescent="0.25">
      <c r="A14">
        <f ca="1"/>
        <v>13</v>
      </c>
      <c r="B14" t="str">
        <f ca="1"/>
        <v>SX</v>
      </c>
      <c r="C14" t="str">
        <f ca="1"/>
        <v>Z</v>
      </c>
      <c r="D14" t="str">
        <f ca="1"/>
        <v>R-10_D</v>
      </c>
      <c r="E14">
        <f ca="1"/>
        <v>0</v>
      </c>
      <c r="F14">
        <f ca="1"/>
        <v>0</v>
      </c>
      <c r="G14">
        <f ca="1"/>
        <v>0</v>
      </c>
      <c r="H14">
        <f ca="1"/>
        <v>0</v>
      </c>
      <c r="I14">
        <f ca="1"/>
        <v>0</v>
      </c>
      <c r="J14">
        <f ca="1"/>
        <v>7</v>
      </c>
      <c r="K14">
        <f ca="1"/>
        <v>0</v>
      </c>
      <c r="L14">
        <f ca="1"/>
        <v>691774.79893821664</v>
      </c>
      <c r="M14">
        <f ca="1"/>
        <v>7569999.1890817406</v>
      </c>
      <c r="N14" t="str">
        <f ca="1"/>
        <v>R-10</v>
      </c>
      <c r="O14" t="str">
        <f ca="1"/>
        <v>R-10</v>
      </c>
      <c r="P14">
        <f ca="1"/>
        <v>1</v>
      </c>
      <c r="Q14">
        <f ca="1"/>
        <v>2.623943544168605</v>
      </c>
      <c r="R14" s="2">
        <f ca="1"/>
        <v>3.2199999999999998</v>
      </c>
      <c r="S14">
        <f ca="1"/>
        <v>0.64000000000000012</v>
      </c>
      <c r="T14">
        <f ca="1"/>
        <v>691774.55839837098</v>
      </c>
      <c r="U14">
        <f ca="1"/>
        <v>7569997.4733193498</v>
      </c>
      <c r="AA14" s="10" t="s">
        <v>99</v>
      </c>
      <c r="AB14" s="10">
        <v>1</v>
      </c>
    </row>
    <row r="15" spans="1:28" x14ac:dyDescent="0.25">
      <c r="A15">
        <f ca="1"/>
        <v>14</v>
      </c>
      <c r="B15" t="str">
        <f ca="1"/>
        <v>SX</v>
      </c>
      <c r="C15" t="str">
        <f ca="1"/>
        <v>Z</v>
      </c>
      <c r="D15" t="str">
        <f ca="1"/>
        <v>R-10_D</v>
      </c>
      <c r="E15">
        <f ca="1"/>
        <v>0</v>
      </c>
      <c r="F15">
        <f ca="1"/>
        <v>0</v>
      </c>
      <c r="G15">
        <f ca="1"/>
        <v>0</v>
      </c>
      <c r="H15">
        <f ca="1"/>
        <v>0</v>
      </c>
      <c r="I15">
        <f ca="1"/>
        <v>0</v>
      </c>
      <c r="J15">
        <f ca="1"/>
        <v>7</v>
      </c>
      <c r="K15">
        <f ca="1"/>
        <v>1</v>
      </c>
      <c r="L15">
        <f ca="1"/>
        <v>691773.20555786439</v>
      </c>
      <c r="M15">
        <f ca="1"/>
        <v>7569996.3909503911</v>
      </c>
      <c r="N15" t="str">
        <f ca="1"/>
        <v>R-10</v>
      </c>
      <c r="O15" t="str">
        <f ca="1"/>
        <v>R-10</v>
      </c>
      <c r="P15">
        <f ca="1"/>
        <v>1</v>
      </c>
      <c r="Q15">
        <f ca="1"/>
        <v>2.623943544168605</v>
      </c>
      <c r="R15" s="2">
        <f ca="1"/>
        <v>3.2199999999999998</v>
      </c>
      <c r="S15">
        <f ca="1"/>
        <v>0.64000000000000012</v>
      </c>
      <c r="T15">
        <f ca="1"/>
        <v>691774.55839837098</v>
      </c>
      <c r="U15">
        <f ca="1"/>
        <v>7569997.4733193498</v>
      </c>
      <c r="AA15" t="s">
        <v>100</v>
      </c>
      <c r="AB15">
        <v>1.42</v>
      </c>
    </row>
    <row r="16" spans="1:28" x14ac:dyDescent="0.25">
      <c r="A16">
        <f ca="1"/>
        <v>15</v>
      </c>
      <c r="B16" t="str">
        <f ca="1"/>
        <v>CN</v>
      </c>
      <c r="C16" t="str">
        <f ca="1"/>
        <v>Z</v>
      </c>
      <c r="D16" t="str">
        <f ca="1"/>
        <v>R-10_D</v>
      </c>
      <c r="E16">
        <f ca="1"/>
        <v>0</v>
      </c>
      <c r="F16">
        <f ca="1"/>
        <v>0</v>
      </c>
      <c r="G16">
        <f ca="1"/>
        <v>0</v>
      </c>
      <c r="H16">
        <f ca="1"/>
        <v>0</v>
      </c>
      <c r="I16">
        <f ca="1"/>
        <v>0</v>
      </c>
      <c r="J16">
        <f ca="1"/>
        <v>8</v>
      </c>
      <c r="K16">
        <f ca="1"/>
        <v>0</v>
      </c>
      <c r="L16">
        <f ca="1"/>
        <v>691774.55839837098</v>
      </c>
      <c r="M16">
        <f ca="1"/>
        <v>7569997.4733193498</v>
      </c>
      <c r="N16" t="str">
        <f ca="1"/>
        <v>R-10</v>
      </c>
      <c r="O16" t="str">
        <f ca="1"/>
        <v>R-10</v>
      </c>
      <c r="P16">
        <f ca="1"/>
        <v>1</v>
      </c>
      <c r="Q16">
        <f ca="1"/>
        <v>2.623943544168605</v>
      </c>
      <c r="R16" s="2">
        <f ca="1"/>
        <v>3.2199999999999998</v>
      </c>
      <c r="S16">
        <f ca="1"/>
        <v>0.64000000000000012</v>
      </c>
      <c r="T16">
        <f ca="1"/>
        <v>691774.55839837098</v>
      </c>
      <c r="U16">
        <f ca="1"/>
        <v>7569997.4733193498</v>
      </c>
    </row>
    <row r="17" spans="1:27" x14ac:dyDescent="0.25">
      <c r="A17">
        <f ca="1"/>
        <v>16</v>
      </c>
      <c r="B17" t="str">
        <f ca="1"/>
        <v>CN</v>
      </c>
      <c r="C17" t="str">
        <f ca="1"/>
        <v>Z</v>
      </c>
      <c r="D17" t="str">
        <f ca="1"/>
        <v>R-10_D</v>
      </c>
      <c r="E17">
        <f ca="1"/>
        <v>0</v>
      </c>
      <c r="F17">
        <f ca="1"/>
        <v>0</v>
      </c>
      <c r="G17">
        <f ca="1"/>
        <v>0</v>
      </c>
      <c r="H17">
        <f ca="1"/>
        <v>0</v>
      </c>
      <c r="I17">
        <f ca="1"/>
        <v>0</v>
      </c>
      <c r="J17">
        <f ca="1"/>
        <v>8</v>
      </c>
      <c r="K17">
        <f ca="1"/>
        <v>1</v>
      </c>
      <c r="L17">
        <f ca="1"/>
        <v>691773.20555786439</v>
      </c>
      <c r="M17">
        <f ca="1"/>
        <v>7569996.3909503911</v>
      </c>
      <c r="N17" t="str">
        <f ca="1"/>
        <v>R-10</v>
      </c>
      <c r="O17" t="str">
        <f ca="1"/>
        <v>R-10</v>
      </c>
      <c r="P17">
        <f ca="1"/>
        <v>1</v>
      </c>
      <c r="Q17">
        <f ca="1"/>
        <v>2.623943544168605</v>
      </c>
      <c r="R17" s="2">
        <f ca="1"/>
        <v>3.2199999999999998</v>
      </c>
      <c r="S17">
        <f ca="1"/>
        <v>0.64000000000000012</v>
      </c>
      <c r="T17">
        <f ca="1"/>
        <v>691774.55839837098</v>
      </c>
      <c r="U17">
        <f ca="1"/>
        <v>7569997.4733193498</v>
      </c>
      <c r="AA17" s="14" t="str">
        <f ca="1">'PointsTidy - master'!C1</f>
        <v>DUPLICATES</v>
      </c>
    </row>
    <row r="18" spans="1:27" x14ac:dyDescent="0.25">
      <c r="A18">
        <f ca="1"/>
        <v>17</v>
      </c>
      <c r="B18" t="str">
        <f ca="1"/>
        <v>SX</v>
      </c>
      <c r="C18" t="str">
        <f ca="1"/>
        <v>Z</v>
      </c>
      <c r="D18" t="str">
        <f ca="1"/>
        <v>R-10b_U</v>
      </c>
      <c r="E18">
        <f ca="1"/>
        <v>0</v>
      </c>
      <c r="F18">
        <f ca="1"/>
        <v>0</v>
      </c>
      <c r="G18">
        <f ca="1"/>
        <v>0</v>
      </c>
      <c r="H18">
        <f ca="1"/>
        <v>0</v>
      </c>
      <c r="I18">
        <f ca="1"/>
        <v>0</v>
      </c>
      <c r="J18">
        <f ca="1"/>
        <v>9</v>
      </c>
      <c r="K18">
        <f ca="1"/>
        <v>0</v>
      </c>
      <c r="L18">
        <f ca="1"/>
        <v>691743.25965674419</v>
      </c>
      <c r="M18">
        <f ca="1"/>
        <v>7569819.7103195526</v>
      </c>
      <c r="N18" t="str">
        <f ca="1"/>
        <v>R-10b</v>
      </c>
      <c r="O18" t="str">
        <f ca="1"/>
        <v>R-10b</v>
      </c>
      <c r="P18">
        <f ca="1"/>
        <v>0</v>
      </c>
      <c r="Q18">
        <f ca="1"/>
        <v>-0.10660537950376359</v>
      </c>
      <c r="R18" s="2">
        <f ca="1"/>
        <v>3.2199999999999998</v>
      </c>
      <c r="S18">
        <f ca="1"/>
        <v>0.64000000000000012</v>
      </c>
      <c r="T18">
        <f ca="1"/>
        <v>691742.79459975695</v>
      </c>
      <c r="U18">
        <f ca="1"/>
        <v>7569821.3792779101</v>
      </c>
    </row>
    <row r="19" spans="1:27" x14ac:dyDescent="0.25">
      <c r="A19">
        <f ca="1"/>
        <v>18</v>
      </c>
      <c r="B19" t="str">
        <f ca="1"/>
        <v>SX</v>
      </c>
      <c r="C19" t="str">
        <f ca="1"/>
        <v>Z</v>
      </c>
      <c r="D19" t="str">
        <f ca="1"/>
        <v>R-10b_U</v>
      </c>
      <c r="E19">
        <f ca="1"/>
        <v>0</v>
      </c>
      <c r="F19">
        <f ca="1"/>
        <v>0</v>
      </c>
      <c r="G19">
        <f ca="1"/>
        <v>0</v>
      </c>
      <c r="H19">
        <f ca="1"/>
        <v>0</v>
      </c>
      <c r="I19">
        <f ca="1"/>
        <v>0</v>
      </c>
      <c r="J19">
        <f ca="1"/>
        <v>9</v>
      </c>
      <c r="K19">
        <f ca="1"/>
        <v>1</v>
      </c>
      <c r="L19">
        <f ca="1"/>
        <v>691743.60227624304</v>
      </c>
      <c r="M19">
        <f ca="1"/>
        <v>7569822.9120396962</v>
      </c>
      <c r="N19" t="str">
        <f ca="1"/>
        <v>R-10b</v>
      </c>
      <c r="O19" t="str">
        <f ca="1"/>
        <v>R-10b</v>
      </c>
      <c r="P19">
        <f ca="1"/>
        <v>0</v>
      </c>
      <c r="Q19">
        <f ca="1"/>
        <v>-0.10660537950376359</v>
      </c>
      <c r="R19" s="2">
        <f ca="1"/>
        <v>3.2199999999999998</v>
      </c>
      <c r="S19">
        <f ca="1"/>
        <v>0.64000000000000012</v>
      </c>
      <c r="T19">
        <f ca="1"/>
        <v>691742.79459975695</v>
      </c>
      <c r="U19">
        <f ca="1"/>
        <v>7569821.3792779101</v>
      </c>
    </row>
    <row r="20" spans="1:27" x14ac:dyDescent="0.25">
      <c r="A20">
        <f ca="1"/>
        <v>19</v>
      </c>
      <c r="B20" t="str">
        <f ca="1"/>
        <v>CN</v>
      </c>
      <c r="C20" t="str">
        <f ca="1"/>
        <v>Z</v>
      </c>
      <c r="D20" t="str">
        <f ca="1"/>
        <v>R-10b_U</v>
      </c>
      <c r="E20">
        <f ca="1"/>
        <v>0</v>
      </c>
      <c r="F20">
        <f ca="1"/>
        <v>0</v>
      </c>
      <c r="G20">
        <f ca="1"/>
        <v>0</v>
      </c>
      <c r="H20">
        <f ca="1"/>
        <v>0</v>
      </c>
      <c r="I20">
        <f ca="1"/>
        <v>0</v>
      </c>
      <c r="J20">
        <f ca="1"/>
        <v>10</v>
      </c>
      <c r="K20">
        <f ca="1"/>
        <v>0</v>
      </c>
      <c r="L20">
        <f ca="1"/>
        <v>691742.79459975695</v>
      </c>
      <c r="M20">
        <f ca="1"/>
        <v>7569821.3792779101</v>
      </c>
      <c r="N20" t="str">
        <f ca="1"/>
        <v>R-10b</v>
      </c>
      <c r="O20" t="str">
        <f ca="1"/>
        <v>R-10b</v>
      </c>
      <c r="P20">
        <f ca="1"/>
        <v>0</v>
      </c>
      <c r="Q20">
        <f ca="1"/>
        <v>-0.10660537950376359</v>
      </c>
      <c r="R20" s="2">
        <f ca="1"/>
        <v>3.2199999999999998</v>
      </c>
      <c r="S20">
        <f ca="1"/>
        <v>0.64000000000000012</v>
      </c>
      <c r="T20">
        <f ca="1"/>
        <v>691742.79459975695</v>
      </c>
      <c r="U20">
        <f ca="1"/>
        <v>7569821.3792779101</v>
      </c>
    </row>
    <row r="21" spans="1:27" x14ac:dyDescent="0.25">
      <c r="A21">
        <f ca="1"/>
        <v>20</v>
      </c>
      <c r="B21" t="str">
        <f ca="1"/>
        <v>CN</v>
      </c>
      <c r="C21" t="str">
        <f ca="1"/>
        <v>Z</v>
      </c>
      <c r="D21" t="str">
        <f ca="1"/>
        <v>R-10b_U</v>
      </c>
      <c r="E21">
        <f ca="1"/>
        <v>0</v>
      </c>
      <c r="F21">
        <f ca="1"/>
        <v>0</v>
      </c>
      <c r="G21">
        <f ca="1"/>
        <v>0</v>
      </c>
      <c r="H21">
        <f ca="1"/>
        <v>0</v>
      </c>
      <c r="I21">
        <f ca="1"/>
        <v>0</v>
      </c>
      <c r="J21">
        <f ca="1"/>
        <v>10</v>
      </c>
      <c r="K21">
        <f ca="1"/>
        <v>1</v>
      </c>
      <c r="L21">
        <f ca="1"/>
        <v>691743.60227624304</v>
      </c>
      <c r="M21">
        <f ca="1"/>
        <v>7569822.9120396962</v>
      </c>
      <c r="N21" t="str">
        <f ca="1"/>
        <v>R-10b</v>
      </c>
      <c r="O21" t="str">
        <f ca="1"/>
        <v>R-10b</v>
      </c>
      <c r="P21">
        <f ca="1"/>
        <v>0</v>
      </c>
      <c r="Q21">
        <f ca="1"/>
        <v>-0.10660537950376359</v>
      </c>
      <c r="R21" s="2">
        <f ca="1"/>
        <v>3.2199999999999998</v>
      </c>
      <c r="S21">
        <f ca="1"/>
        <v>0.64000000000000012</v>
      </c>
      <c r="T21">
        <f ca="1"/>
        <v>691742.79459975695</v>
      </c>
      <c r="U21">
        <f ca="1"/>
        <v>7569821.3792779101</v>
      </c>
    </row>
    <row r="22" spans="1:27" x14ac:dyDescent="0.25">
      <c r="A22">
        <f ca="1"/>
        <v>21</v>
      </c>
      <c r="B22" t="str">
        <f ca="1"/>
        <v>SX</v>
      </c>
      <c r="C22" t="str">
        <f ca="1"/>
        <v>Z</v>
      </c>
      <c r="D22" t="str">
        <f ca="1"/>
        <v>R-10b_D</v>
      </c>
      <c r="E22">
        <f ca="1"/>
        <v>0</v>
      </c>
      <c r="F22">
        <f ca="1"/>
        <v>0</v>
      </c>
      <c r="G22">
        <f ca="1"/>
        <v>0</v>
      </c>
      <c r="H22">
        <f ca="1"/>
        <v>0</v>
      </c>
      <c r="I22">
        <f ca="1"/>
        <v>0</v>
      </c>
      <c r="J22">
        <f ca="1"/>
        <v>11</v>
      </c>
      <c r="K22">
        <f ca="1"/>
        <v>0</v>
      </c>
      <c r="L22">
        <f ca="1"/>
        <v>691717.1599830488</v>
      </c>
      <c r="M22">
        <f ca="1"/>
        <v>7569825.7416577879</v>
      </c>
      <c r="N22" t="str">
        <f ca="1"/>
        <v>R-10b</v>
      </c>
      <c r="O22" t="str">
        <f ca="1"/>
        <v>R-10b</v>
      </c>
      <c r="P22">
        <f ca="1"/>
        <v>1</v>
      </c>
      <c r="Q22">
        <f ca="1"/>
        <v>3.0349872740860295</v>
      </c>
      <c r="R22" s="2">
        <f ca="1"/>
        <v>3.2199999999999998</v>
      </c>
      <c r="S22">
        <f ca="1"/>
        <v>0.64000000000000012</v>
      </c>
      <c r="T22">
        <f ca="1"/>
        <v>691717.62504003604</v>
      </c>
      <c r="U22">
        <f ca="1"/>
        <v>7569824.0726994304</v>
      </c>
    </row>
    <row r="23" spans="1:27" x14ac:dyDescent="0.25">
      <c r="A23">
        <f ca="1"/>
        <v>22</v>
      </c>
      <c r="B23" t="str">
        <f ca="1"/>
        <v>SX</v>
      </c>
      <c r="C23" t="str">
        <f ca="1"/>
        <v>Z</v>
      </c>
      <c r="D23" t="str">
        <f ca="1"/>
        <v>R-10b_D</v>
      </c>
      <c r="E23">
        <f ca="1"/>
        <v>0</v>
      </c>
      <c r="F23">
        <f ca="1"/>
        <v>0</v>
      </c>
      <c r="G23">
        <f ca="1"/>
        <v>0</v>
      </c>
      <c r="H23">
        <f ca="1"/>
        <v>0</v>
      </c>
      <c r="I23">
        <f ca="1"/>
        <v>0</v>
      </c>
      <c r="J23">
        <f ca="1"/>
        <v>11</v>
      </c>
      <c r="K23">
        <f ca="1"/>
        <v>1</v>
      </c>
      <c r="L23">
        <f ca="1"/>
        <v>691716.81736354996</v>
      </c>
      <c r="M23">
        <f ca="1"/>
        <v>7569822.5399376443</v>
      </c>
      <c r="N23" t="str">
        <f ca="1"/>
        <v>R-10b</v>
      </c>
      <c r="O23" t="str">
        <f ca="1"/>
        <v>R-10b</v>
      </c>
      <c r="P23">
        <f ca="1"/>
        <v>1</v>
      </c>
      <c r="Q23">
        <f ca="1"/>
        <v>3.0349872740860295</v>
      </c>
      <c r="R23" s="2">
        <f ca="1"/>
        <v>3.2199999999999998</v>
      </c>
      <c r="S23">
        <f ca="1"/>
        <v>0.64000000000000012</v>
      </c>
      <c r="T23">
        <f ca="1"/>
        <v>691717.62504003604</v>
      </c>
      <c r="U23">
        <f ca="1"/>
        <v>7569824.0726994304</v>
      </c>
    </row>
    <row r="24" spans="1:27" x14ac:dyDescent="0.25">
      <c r="A24">
        <f ca="1"/>
        <v>23</v>
      </c>
      <c r="B24" t="str">
        <f ca="1"/>
        <v>CN</v>
      </c>
      <c r="C24" t="str">
        <f ca="1"/>
        <v>Z</v>
      </c>
      <c r="D24" t="str">
        <f ca="1"/>
        <v>R-10b_D</v>
      </c>
      <c r="E24">
        <f ca="1"/>
        <v>0</v>
      </c>
      <c r="F24">
        <f ca="1"/>
        <v>0</v>
      </c>
      <c r="G24">
        <f ca="1"/>
        <v>0</v>
      </c>
      <c r="H24">
        <f ca="1"/>
        <v>0</v>
      </c>
      <c r="I24">
        <f ca="1"/>
        <v>0</v>
      </c>
      <c r="J24">
        <f ca="1"/>
        <v>12</v>
      </c>
      <c r="K24">
        <f ca="1"/>
        <v>0</v>
      </c>
      <c r="L24">
        <f ca="1"/>
        <v>691717.62504003604</v>
      </c>
      <c r="M24">
        <f ca="1"/>
        <v>7569824.0726994304</v>
      </c>
      <c r="N24" t="str">
        <f ca="1"/>
        <v>R-10b</v>
      </c>
      <c r="O24" t="str">
        <f ca="1"/>
        <v>R-10b</v>
      </c>
      <c r="P24">
        <f ca="1"/>
        <v>1</v>
      </c>
      <c r="Q24">
        <f ca="1"/>
        <v>3.0349872740860295</v>
      </c>
      <c r="R24" s="2">
        <f ca="1"/>
        <v>3.2199999999999998</v>
      </c>
      <c r="S24">
        <f ca="1"/>
        <v>0.64000000000000012</v>
      </c>
      <c r="T24">
        <f ca="1"/>
        <v>691717.62504003604</v>
      </c>
      <c r="U24">
        <f ca="1"/>
        <v>7569824.0726994304</v>
      </c>
    </row>
    <row r="25" spans="1:27" x14ac:dyDescent="0.25">
      <c r="A25">
        <f ca="1"/>
        <v>24</v>
      </c>
      <c r="B25" t="str">
        <f ca="1"/>
        <v>CN</v>
      </c>
      <c r="C25" t="str">
        <f ca="1"/>
        <v>Z</v>
      </c>
      <c r="D25" t="str">
        <f ca="1"/>
        <v>R-10b_D</v>
      </c>
      <c r="E25">
        <f ca="1"/>
        <v>0</v>
      </c>
      <c r="F25">
        <f ca="1"/>
        <v>0</v>
      </c>
      <c r="G25">
        <f ca="1"/>
        <v>0</v>
      </c>
      <c r="H25">
        <f ca="1"/>
        <v>0</v>
      </c>
      <c r="I25">
        <f ca="1"/>
        <v>0</v>
      </c>
      <c r="J25">
        <f ca="1"/>
        <v>12</v>
      </c>
      <c r="K25">
        <f ca="1"/>
        <v>1</v>
      </c>
      <c r="L25">
        <f ca="1"/>
        <v>691716.81736354996</v>
      </c>
      <c r="M25">
        <f ca="1"/>
        <v>7569822.5399376443</v>
      </c>
      <c r="N25" t="str">
        <f ca="1"/>
        <v>R-10b</v>
      </c>
      <c r="O25" t="str">
        <f ca="1"/>
        <v>R-10b</v>
      </c>
      <c r="P25">
        <f ca="1"/>
        <v>1</v>
      </c>
      <c r="Q25">
        <f ca="1"/>
        <v>3.0349872740860295</v>
      </c>
      <c r="R25" s="2">
        <f ca="1"/>
        <v>3.2199999999999998</v>
      </c>
      <c r="S25">
        <f ca="1"/>
        <v>0.64000000000000012</v>
      </c>
      <c r="T25">
        <f ca="1"/>
        <v>691717.62504003604</v>
      </c>
      <c r="U25">
        <f ca="1"/>
        <v>7569824.0726994304</v>
      </c>
    </row>
    <row r="26" spans="1:27" x14ac:dyDescent="0.25">
      <c r="A26">
        <f ca="1"/>
        <v>25</v>
      </c>
      <c r="B26" t="str">
        <f ca="1"/>
        <v>SX</v>
      </c>
      <c r="C26" t="str">
        <f ca="1"/>
        <v>Z</v>
      </c>
      <c r="D26" t="str">
        <f ca="1"/>
        <v>R-10c_U</v>
      </c>
      <c r="E26">
        <f ca="1"/>
        <v>0</v>
      </c>
      <c r="F26">
        <f ca="1"/>
        <v>0</v>
      </c>
      <c r="G26">
        <f ca="1"/>
        <v>0</v>
      </c>
      <c r="H26">
        <f ca="1"/>
        <v>0</v>
      </c>
      <c r="I26">
        <f ca="1"/>
        <v>0</v>
      </c>
      <c r="J26">
        <f ca="1"/>
        <v>13</v>
      </c>
      <c r="K26">
        <f ca="1"/>
        <v>0</v>
      </c>
      <c r="L26">
        <f ca="1"/>
        <v>691654.4590201223</v>
      </c>
      <c r="M26">
        <f ca="1"/>
        <v>7569629.8271260448</v>
      </c>
      <c r="N26" t="str">
        <f ca="1"/>
        <v>R-10c</v>
      </c>
      <c r="O26" t="str">
        <f ca="1"/>
        <v>R-10c</v>
      </c>
      <c r="P26">
        <f ca="1"/>
        <v>0</v>
      </c>
      <c r="Q26">
        <f ca="1"/>
        <v>-0.73960809094658231</v>
      </c>
      <c r="R26" s="2">
        <f ca="1"/>
        <v>1.708</v>
      </c>
      <c r="S26">
        <f ca="1"/>
        <v>0.64000000000000012</v>
      </c>
      <c r="T26">
        <f ca="1"/>
        <v>691654.56182582898</v>
      </c>
      <c r="U26">
        <f ca="1"/>
        <v>7569630.8893628297</v>
      </c>
    </row>
    <row r="27" spans="1:27" x14ac:dyDescent="0.25">
      <c r="A27">
        <f ca="1"/>
        <v>26</v>
      </c>
      <c r="B27" t="str">
        <f ca="1"/>
        <v>SX</v>
      </c>
      <c r="C27" t="str">
        <f ca="1"/>
        <v>Z</v>
      </c>
      <c r="D27" t="str">
        <f ca="1"/>
        <v>R-10c_U</v>
      </c>
      <c r="E27">
        <f ca="1"/>
        <v>0</v>
      </c>
      <c r="F27">
        <f ca="1"/>
        <v>0</v>
      </c>
      <c r="G27">
        <f ca="1"/>
        <v>0</v>
      </c>
      <c r="H27">
        <f ca="1"/>
        <v>0</v>
      </c>
      <c r="I27">
        <f ca="1"/>
        <v>0</v>
      </c>
      <c r="J27">
        <f ca="1"/>
        <v>13</v>
      </c>
      <c r="K27">
        <f ca="1"/>
        <v>1</v>
      </c>
      <c r="L27">
        <f ca="1"/>
        <v>691655.61020947038</v>
      </c>
      <c r="M27">
        <f ca="1"/>
        <v>7569631.0888816016</v>
      </c>
      <c r="N27" t="str">
        <f ca="1"/>
        <v>R-10c</v>
      </c>
      <c r="O27" t="str">
        <f ca="1"/>
        <v>R-10c</v>
      </c>
      <c r="P27">
        <f ca="1"/>
        <v>0</v>
      </c>
      <c r="Q27">
        <f ca="1"/>
        <v>-0.73960809094658231</v>
      </c>
      <c r="R27" s="2">
        <f ca="1"/>
        <v>1.708</v>
      </c>
      <c r="S27">
        <f ca="1"/>
        <v>0.64000000000000012</v>
      </c>
      <c r="T27">
        <f ca="1"/>
        <v>691654.56182582898</v>
      </c>
      <c r="U27">
        <f ca="1"/>
        <v>7569630.8893628297</v>
      </c>
    </row>
    <row r="28" spans="1:27" x14ac:dyDescent="0.25">
      <c r="A28">
        <f ca="1"/>
        <v>27</v>
      </c>
      <c r="B28" t="str">
        <f ca="1"/>
        <v>CN</v>
      </c>
      <c r="C28" t="str">
        <f ca="1"/>
        <v>Z</v>
      </c>
      <c r="D28" t="str">
        <f ca="1"/>
        <v>R-10c_U</v>
      </c>
      <c r="E28">
        <f ca="1"/>
        <v>0</v>
      </c>
      <c r="F28">
        <f ca="1"/>
        <v>0</v>
      </c>
      <c r="G28">
        <f ca="1"/>
        <v>0</v>
      </c>
      <c r="H28">
        <f ca="1"/>
        <v>0</v>
      </c>
      <c r="I28">
        <f ca="1"/>
        <v>0</v>
      </c>
      <c r="J28">
        <f ca="1"/>
        <v>14</v>
      </c>
      <c r="K28">
        <f ca="1"/>
        <v>0</v>
      </c>
      <c r="L28">
        <f ca="1"/>
        <v>691654.56182582898</v>
      </c>
      <c r="M28">
        <f ca="1"/>
        <v>7569630.8893628297</v>
      </c>
      <c r="N28" t="str">
        <f ca="1"/>
        <v>R-10c</v>
      </c>
      <c r="O28" t="str">
        <f ca="1"/>
        <v>R-10c</v>
      </c>
      <c r="P28">
        <f ca="1"/>
        <v>0</v>
      </c>
      <c r="Q28">
        <f ca="1"/>
        <v>-0.73960809094658231</v>
      </c>
      <c r="R28" s="2">
        <f ca="1"/>
        <v>1.708</v>
      </c>
      <c r="S28">
        <f ca="1"/>
        <v>0.64000000000000012</v>
      </c>
      <c r="T28">
        <f ca="1"/>
        <v>691654.56182582898</v>
      </c>
      <c r="U28">
        <f ca="1"/>
        <v>7569630.8893628297</v>
      </c>
    </row>
    <row r="29" spans="1:27" x14ac:dyDescent="0.25">
      <c r="A29">
        <f ca="1"/>
        <v>28</v>
      </c>
      <c r="B29" t="str">
        <f ca="1"/>
        <v>CN</v>
      </c>
      <c r="C29" t="str">
        <f ca="1"/>
        <v>Z</v>
      </c>
      <c r="D29" t="str">
        <f ca="1"/>
        <v>R-10c_U</v>
      </c>
      <c r="E29">
        <f ca="1"/>
        <v>0</v>
      </c>
      <c r="F29">
        <f ca="1"/>
        <v>0</v>
      </c>
      <c r="G29">
        <f ca="1"/>
        <v>0</v>
      </c>
      <c r="H29">
        <f ca="1"/>
        <v>0</v>
      </c>
      <c r="I29">
        <f ca="1"/>
        <v>0</v>
      </c>
      <c r="J29">
        <f ca="1"/>
        <v>14</v>
      </c>
      <c r="K29">
        <f ca="1"/>
        <v>1</v>
      </c>
      <c r="L29">
        <f ca="1"/>
        <v>691655.61020947038</v>
      </c>
      <c r="M29">
        <f ca="1"/>
        <v>7569631.0888816016</v>
      </c>
      <c r="N29" t="str">
        <f ca="1"/>
        <v>R-10c</v>
      </c>
      <c r="O29" t="str">
        <f ca="1"/>
        <v>R-10c</v>
      </c>
      <c r="P29">
        <f ca="1"/>
        <v>0</v>
      </c>
      <c r="Q29">
        <f ca="1"/>
        <v>-0.73960809094658231</v>
      </c>
      <c r="R29" s="2">
        <f ca="1"/>
        <v>1.708</v>
      </c>
      <c r="S29">
        <f ca="1"/>
        <v>0.64000000000000012</v>
      </c>
      <c r="T29">
        <f ca="1"/>
        <v>691654.56182582898</v>
      </c>
      <c r="U29">
        <f ca="1"/>
        <v>7569630.8893628297</v>
      </c>
    </row>
    <row r="30" spans="1:27" x14ac:dyDescent="0.25">
      <c r="A30">
        <f ca="1"/>
        <v>29</v>
      </c>
      <c r="B30" t="str">
        <f ca="1"/>
        <v>SX</v>
      </c>
      <c r="C30" t="str">
        <f ca="1"/>
        <v>Z</v>
      </c>
      <c r="D30" t="str">
        <f ca="1"/>
        <v>R-10c_D</v>
      </c>
      <c r="E30">
        <f ca="1"/>
        <v>0</v>
      </c>
      <c r="F30">
        <f ca="1"/>
        <v>0</v>
      </c>
      <c r="G30">
        <f ca="1"/>
        <v>0</v>
      </c>
      <c r="H30">
        <f ca="1"/>
        <v>0</v>
      </c>
      <c r="I30">
        <f ca="1"/>
        <v>0</v>
      </c>
      <c r="J30">
        <f ca="1"/>
        <v>15</v>
      </c>
      <c r="K30">
        <f ca="1"/>
        <v>0</v>
      </c>
      <c r="L30">
        <f ca="1"/>
        <v>691636.64657033363</v>
      </c>
      <c r="M30">
        <f ca="1"/>
        <v>7569648.3907585451</v>
      </c>
      <c r="N30" t="str">
        <f ca="1"/>
        <v>R-10c</v>
      </c>
      <c r="O30" t="str">
        <f ca="1"/>
        <v>R-10c</v>
      </c>
      <c r="P30">
        <f ca="1"/>
        <v>1</v>
      </c>
      <c r="Q30">
        <f ca="1"/>
        <v>2.4019845626432108</v>
      </c>
      <c r="R30" s="2">
        <f ca="1"/>
        <v>1.708</v>
      </c>
      <c r="S30">
        <f ca="1"/>
        <v>0.64000000000000012</v>
      </c>
      <c r="T30">
        <f ca="1"/>
        <v>691636.54376462696</v>
      </c>
      <c r="U30">
        <f ca="1"/>
        <v>7569647.3285217602</v>
      </c>
    </row>
    <row r="31" spans="1:27" x14ac:dyDescent="0.25">
      <c r="A31">
        <f ca="1"/>
        <v>30</v>
      </c>
      <c r="B31" t="str">
        <f ca="1"/>
        <v>SX</v>
      </c>
      <c r="C31" t="str">
        <f ca="1"/>
        <v>Z</v>
      </c>
      <c r="D31" t="str">
        <f ca="1"/>
        <v>R-10c_D</v>
      </c>
      <c r="E31">
        <f ca="1"/>
        <v>0</v>
      </c>
      <c r="F31">
        <f ca="1"/>
        <v>0</v>
      </c>
      <c r="G31">
        <f ca="1"/>
        <v>0</v>
      </c>
      <c r="H31">
        <f ca="1"/>
        <v>0</v>
      </c>
      <c r="I31">
        <f ca="1"/>
        <v>0</v>
      </c>
      <c r="J31">
        <f ca="1"/>
        <v>15</v>
      </c>
      <c r="K31">
        <f ca="1"/>
        <v>1</v>
      </c>
      <c r="L31">
        <f ca="1"/>
        <v>691635.49538098555</v>
      </c>
      <c r="M31">
        <f ca="1"/>
        <v>7569647.1290029883</v>
      </c>
      <c r="N31" t="str">
        <f ca="1"/>
        <v>R-10c</v>
      </c>
      <c r="O31" t="str">
        <f ca="1"/>
        <v>R-10c</v>
      </c>
      <c r="P31">
        <f ca="1"/>
        <v>1</v>
      </c>
      <c r="Q31">
        <f ca="1"/>
        <v>2.4019845626432108</v>
      </c>
      <c r="R31" s="2">
        <f ca="1"/>
        <v>1.708</v>
      </c>
      <c r="S31">
        <f ca="1"/>
        <v>0.64000000000000012</v>
      </c>
      <c r="T31">
        <f ca="1"/>
        <v>691636.54376462696</v>
      </c>
      <c r="U31">
        <f ca="1"/>
        <v>7569647.3285217602</v>
      </c>
    </row>
    <row r="32" spans="1:27" x14ac:dyDescent="0.25">
      <c r="A32">
        <f ca="1"/>
        <v>31</v>
      </c>
      <c r="B32" t="str">
        <f ca="1"/>
        <v>CN</v>
      </c>
      <c r="C32" t="str">
        <f ca="1"/>
        <v>Z</v>
      </c>
      <c r="D32" t="str">
        <f ca="1"/>
        <v>R-10c_D</v>
      </c>
      <c r="E32">
        <f ca="1"/>
        <v>0</v>
      </c>
      <c r="F32">
        <f ca="1"/>
        <v>0</v>
      </c>
      <c r="G32">
        <f ca="1"/>
        <v>0</v>
      </c>
      <c r="H32">
        <f ca="1"/>
        <v>0</v>
      </c>
      <c r="I32">
        <f ca="1"/>
        <v>0</v>
      </c>
      <c r="J32">
        <f ca="1"/>
        <v>16</v>
      </c>
      <c r="K32">
        <f ca="1"/>
        <v>0</v>
      </c>
      <c r="L32">
        <f ca="1"/>
        <v>691636.54376462696</v>
      </c>
      <c r="M32">
        <f ca="1"/>
        <v>7569647.3285217602</v>
      </c>
      <c r="N32" t="str">
        <f ca="1"/>
        <v>R-10c</v>
      </c>
      <c r="O32" t="str">
        <f ca="1"/>
        <v>R-10c</v>
      </c>
      <c r="P32">
        <f ca="1"/>
        <v>1</v>
      </c>
      <c r="Q32">
        <f ca="1"/>
        <v>2.4019845626432108</v>
      </c>
      <c r="R32" s="2">
        <f ca="1"/>
        <v>1.708</v>
      </c>
      <c r="S32">
        <f ca="1"/>
        <v>0.64000000000000012</v>
      </c>
      <c r="T32">
        <f ca="1"/>
        <v>691636.54376462696</v>
      </c>
      <c r="U32">
        <f ca="1"/>
        <v>7569647.3285217602</v>
      </c>
    </row>
    <row r="33" spans="1:21" x14ac:dyDescent="0.25">
      <c r="A33">
        <f ca="1"/>
        <v>32</v>
      </c>
      <c r="B33" t="str">
        <f ca="1"/>
        <v>CN</v>
      </c>
      <c r="C33" t="str">
        <f ca="1"/>
        <v>Z</v>
      </c>
      <c r="D33" t="str">
        <f ca="1"/>
        <v>R-10c_D</v>
      </c>
      <c r="E33">
        <f ca="1"/>
        <v>0</v>
      </c>
      <c r="F33">
        <f ca="1"/>
        <v>0</v>
      </c>
      <c r="G33">
        <f ca="1"/>
        <v>0</v>
      </c>
      <c r="H33">
        <f ca="1"/>
        <v>0</v>
      </c>
      <c r="I33">
        <f ca="1"/>
        <v>0</v>
      </c>
      <c r="J33">
        <f ca="1"/>
        <v>16</v>
      </c>
      <c r="K33">
        <f ca="1"/>
        <v>1</v>
      </c>
      <c r="L33">
        <f ca="1"/>
        <v>691635.49538098555</v>
      </c>
      <c r="M33">
        <f ca="1"/>
        <v>7569647.1290029883</v>
      </c>
      <c r="N33" t="str">
        <f ca="1"/>
        <v>R-10c</v>
      </c>
      <c r="O33" t="str">
        <f ca="1"/>
        <v>R-10c</v>
      </c>
      <c r="P33">
        <f ca="1"/>
        <v>1</v>
      </c>
      <c r="Q33">
        <f ca="1"/>
        <v>2.4019845626432108</v>
      </c>
      <c r="R33" s="2">
        <f ca="1"/>
        <v>1.708</v>
      </c>
      <c r="S33">
        <f ca="1"/>
        <v>0.64000000000000012</v>
      </c>
      <c r="T33">
        <f ca="1"/>
        <v>691636.54376462696</v>
      </c>
      <c r="U33">
        <f ca="1"/>
        <v>7569647.3285217602</v>
      </c>
    </row>
    <row r="34" spans="1:21" x14ac:dyDescent="0.25">
      <c r="A34">
        <f ca="1"/>
        <v>33</v>
      </c>
      <c r="B34" t="str">
        <f ca="1"/>
        <v>SX</v>
      </c>
      <c r="C34" t="str">
        <f ca="1"/>
        <v>Z</v>
      </c>
      <c r="D34" t="str">
        <f ca="1"/>
        <v>R-11_U</v>
      </c>
      <c r="E34">
        <f ca="1"/>
        <v>0</v>
      </c>
      <c r="F34">
        <f ca="1"/>
        <v>0</v>
      </c>
      <c r="G34">
        <f ca="1"/>
        <v>0</v>
      </c>
      <c r="H34">
        <f ca="1"/>
        <v>0</v>
      </c>
      <c r="I34">
        <f ca="1"/>
        <v>0</v>
      </c>
      <c r="J34">
        <f ca="1"/>
        <v>17</v>
      </c>
      <c r="K34">
        <f ca="1"/>
        <v>0</v>
      </c>
      <c r="L34">
        <f ca="1"/>
        <v>691908.43643908889</v>
      </c>
      <c r="M34">
        <f ca="1"/>
        <v>7570318.1850140905</v>
      </c>
      <c r="N34" t="str">
        <f ca="1"/>
        <v>R-11</v>
      </c>
      <c r="O34" t="str">
        <f ca="1"/>
        <v>R-11</v>
      </c>
      <c r="P34">
        <f ca="1"/>
        <v>0</v>
      </c>
      <c r="Q34">
        <f ca="1"/>
        <v>-0.57469961908038414</v>
      </c>
      <c r="R34" s="2">
        <f ca="1"/>
        <v>5.2359999999999998</v>
      </c>
      <c r="S34">
        <f ca="1"/>
        <v>0.64000000000000012</v>
      </c>
      <c r="T34">
        <f ca="1"/>
        <v>691909.32235097</v>
      </c>
      <c r="U34">
        <f ca="1"/>
        <v>7570320.73034003</v>
      </c>
    </row>
    <row r="35" spans="1:21" x14ac:dyDescent="0.25">
      <c r="A35">
        <f ca="1"/>
        <v>34</v>
      </c>
      <c r="B35" t="str">
        <f ca="1"/>
        <v>SX</v>
      </c>
      <c r="C35" t="str">
        <f ca="1"/>
        <v>Z</v>
      </c>
      <c r="D35" t="str">
        <f ca="1"/>
        <v>R-11_U</v>
      </c>
      <c r="E35">
        <f ca="1"/>
        <v>0</v>
      </c>
      <c r="F35">
        <f ca="1"/>
        <v>0</v>
      </c>
      <c r="G35">
        <f ca="1"/>
        <v>0</v>
      </c>
      <c r="H35">
        <f ca="1"/>
        <v>0</v>
      </c>
      <c r="I35">
        <f ca="1"/>
        <v>0</v>
      </c>
      <c r="J35">
        <f ca="1"/>
        <v>17</v>
      </c>
      <c r="K35">
        <f ca="1"/>
        <v>1</v>
      </c>
      <c r="L35">
        <f ca="1"/>
        <v>691911.28263804747</v>
      </c>
      <c r="M35">
        <f ca="1"/>
        <v>7570322.5798801277</v>
      </c>
      <c r="N35" t="str">
        <f ca="1"/>
        <v>R-11</v>
      </c>
      <c r="O35" t="str">
        <f ca="1"/>
        <v>R-11</v>
      </c>
      <c r="P35">
        <f ca="1"/>
        <v>0</v>
      </c>
      <c r="Q35">
        <f ca="1"/>
        <v>-0.57469961908038414</v>
      </c>
      <c r="R35" s="2">
        <f ca="1"/>
        <v>5.2359999999999998</v>
      </c>
      <c r="S35">
        <f ca="1"/>
        <v>0.64000000000000012</v>
      </c>
      <c r="T35">
        <f ca="1"/>
        <v>691909.32235097</v>
      </c>
      <c r="U35">
        <f ca="1"/>
        <v>7570320.73034003</v>
      </c>
    </row>
    <row r="36" spans="1:21" x14ac:dyDescent="0.25">
      <c r="A36">
        <f ca="1"/>
        <v>35</v>
      </c>
      <c r="B36" t="str">
        <f ca="1"/>
        <v>CN</v>
      </c>
      <c r="C36" t="str">
        <f ca="1"/>
        <v>Z</v>
      </c>
      <c r="D36" t="str">
        <f ca="1"/>
        <v>R-11_U</v>
      </c>
      <c r="E36">
        <f ca="1"/>
        <v>0</v>
      </c>
      <c r="F36">
        <f ca="1"/>
        <v>0</v>
      </c>
      <c r="G36">
        <f ca="1"/>
        <v>0</v>
      </c>
      <c r="H36">
        <f ca="1"/>
        <v>0</v>
      </c>
      <c r="I36">
        <f ca="1"/>
        <v>0</v>
      </c>
      <c r="J36">
        <f ca="1"/>
        <v>18</v>
      </c>
      <c r="K36">
        <f ca="1"/>
        <v>0</v>
      </c>
      <c r="L36">
        <f ca="1"/>
        <v>691909.32235097</v>
      </c>
      <c r="M36">
        <f ca="1"/>
        <v>7570320.73034003</v>
      </c>
      <c r="N36" t="str">
        <f ca="1"/>
        <v>R-11</v>
      </c>
      <c r="O36" t="str">
        <f ca="1"/>
        <v>R-11</v>
      </c>
      <c r="P36">
        <f ca="1"/>
        <v>0</v>
      </c>
      <c r="Q36">
        <f ca="1"/>
        <v>-0.57469961908038414</v>
      </c>
      <c r="R36" s="2">
        <f ca="1"/>
        <v>5.2359999999999998</v>
      </c>
      <c r="S36">
        <f ca="1"/>
        <v>0.64000000000000012</v>
      </c>
      <c r="T36">
        <f ca="1"/>
        <v>691909.32235097</v>
      </c>
      <c r="U36">
        <f ca="1"/>
        <v>7570320.73034003</v>
      </c>
    </row>
    <row r="37" spans="1:21" x14ac:dyDescent="0.25">
      <c r="A37">
        <f ca="1"/>
        <v>36</v>
      </c>
      <c r="B37" t="str">
        <f ca="1"/>
        <v>CN</v>
      </c>
      <c r="C37" t="str">
        <f ca="1"/>
        <v>Z</v>
      </c>
      <c r="D37" t="str">
        <f ca="1"/>
        <v>R-11_U</v>
      </c>
      <c r="E37">
        <f ca="1"/>
        <v>0</v>
      </c>
      <c r="F37">
        <f ca="1"/>
        <v>0</v>
      </c>
      <c r="G37">
        <f ca="1"/>
        <v>0</v>
      </c>
      <c r="H37">
        <f ca="1"/>
        <v>0</v>
      </c>
      <c r="I37">
        <f ca="1"/>
        <v>0</v>
      </c>
      <c r="J37">
        <f ca="1"/>
        <v>18</v>
      </c>
      <c r="K37">
        <f ca="1"/>
        <v>1</v>
      </c>
      <c r="L37">
        <f ca="1"/>
        <v>691911.28263804747</v>
      </c>
      <c r="M37">
        <f ca="1"/>
        <v>7570322.5798801277</v>
      </c>
      <c r="N37" t="str">
        <f ca="1"/>
        <v>R-11</v>
      </c>
      <c r="O37" t="str">
        <f ca="1"/>
        <v>R-11</v>
      </c>
      <c r="P37">
        <f ca="1"/>
        <v>0</v>
      </c>
      <c r="Q37">
        <f ca="1"/>
        <v>-0.57469961908038414</v>
      </c>
      <c r="R37" s="2">
        <f ca="1"/>
        <v>5.2359999999999998</v>
      </c>
      <c r="S37">
        <f ca="1"/>
        <v>0.64000000000000012</v>
      </c>
      <c r="T37">
        <f ca="1"/>
        <v>691909.32235097</v>
      </c>
      <c r="U37">
        <f ca="1"/>
        <v>7570320.73034003</v>
      </c>
    </row>
    <row r="38" spans="1:21" x14ac:dyDescent="0.25">
      <c r="A38">
        <f ca="1"/>
        <v>37</v>
      </c>
      <c r="B38" t="str">
        <f ca="1"/>
        <v>SX</v>
      </c>
      <c r="C38" t="str">
        <f ca="1"/>
        <v>Z</v>
      </c>
      <c r="D38" t="str">
        <f ca="1"/>
        <v>R-11_D</v>
      </c>
      <c r="E38">
        <f ca="1"/>
        <v>0</v>
      </c>
      <c r="F38">
        <f ca="1"/>
        <v>0</v>
      </c>
      <c r="G38">
        <f ca="1"/>
        <v>0</v>
      </c>
      <c r="H38">
        <f ca="1"/>
        <v>0</v>
      </c>
      <c r="I38">
        <f ca="1"/>
        <v>0</v>
      </c>
      <c r="J38">
        <f ca="1"/>
        <v>19</v>
      </c>
      <c r="K38">
        <f ca="1"/>
        <v>0</v>
      </c>
      <c r="L38">
        <f ca="1"/>
        <v>691880.95213254809</v>
      </c>
      <c r="M38">
        <f ca="1"/>
        <v>7570342.2224932192</v>
      </c>
      <c r="N38" t="str">
        <f ca="1"/>
        <v>R-11</v>
      </c>
      <c r="O38" t="str">
        <f ca="1"/>
        <v>R-11</v>
      </c>
      <c r="P38">
        <f ca="1"/>
        <v>1</v>
      </c>
      <c r="Q38">
        <f ca="1"/>
        <v>2.566893034509409</v>
      </c>
      <c r="R38" s="2">
        <f ca="1"/>
        <v>5.2359999999999998</v>
      </c>
      <c r="S38">
        <f ca="1"/>
        <v>0.64000000000000012</v>
      </c>
      <c r="T38">
        <f ca="1"/>
        <v>691880.06622066698</v>
      </c>
      <c r="U38">
        <f ca="1"/>
        <v>7570339.6771672796</v>
      </c>
    </row>
    <row r="39" spans="1:21" x14ac:dyDescent="0.25">
      <c r="A39">
        <f ca="1"/>
        <v>38</v>
      </c>
      <c r="B39" t="str">
        <f ca="1"/>
        <v>SX</v>
      </c>
      <c r="C39" t="str">
        <f ca="1"/>
        <v>Z</v>
      </c>
      <c r="D39" t="str">
        <f ca="1"/>
        <v>R-11_D</v>
      </c>
      <c r="E39">
        <f ca="1"/>
        <v>0</v>
      </c>
      <c r="F39">
        <f ca="1"/>
        <v>0</v>
      </c>
      <c r="G39">
        <f ca="1"/>
        <v>0</v>
      </c>
      <c r="H39">
        <f ca="1"/>
        <v>0</v>
      </c>
      <c r="I39">
        <f ca="1"/>
        <v>0</v>
      </c>
      <c r="J39">
        <f ca="1"/>
        <v>19</v>
      </c>
      <c r="K39">
        <f ca="1"/>
        <v>1</v>
      </c>
      <c r="L39">
        <f ca="1"/>
        <v>691878.10593358951</v>
      </c>
      <c r="M39">
        <f ca="1"/>
        <v>7570337.827627182</v>
      </c>
      <c r="N39" t="str">
        <f ca="1"/>
        <v>R-11</v>
      </c>
      <c r="O39" t="str">
        <f ca="1"/>
        <v>R-11</v>
      </c>
      <c r="P39">
        <f ca="1"/>
        <v>1</v>
      </c>
      <c r="Q39">
        <f ca="1"/>
        <v>2.566893034509409</v>
      </c>
      <c r="R39" s="2">
        <f ca="1"/>
        <v>5.2359999999999998</v>
      </c>
      <c r="S39">
        <f ca="1"/>
        <v>0.64000000000000012</v>
      </c>
      <c r="T39">
        <f ca="1"/>
        <v>691880.06622066698</v>
      </c>
      <c r="U39">
        <f ca="1"/>
        <v>7570339.6771672796</v>
      </c>
    </row>
    <row r="40" spans="1:21" x14ac:dyDescent="0.25">
      <c r="A40">
        <f ca="1"/>
        <v>39</v>
      </c>
      <c r="B40" t="str">
        <f ca="1"/>
        <v>CN</v>
      </c>
      <c r="C40" t="str">
        <f ca="1"/>
        <v>Z</v>
      </c>
      <c r="D40" t="str">
        <f ca="1"/>
        <v>R-11_D</v>
      </c>
      <c r="E40">
        <f ca="1"/>
        <v>0</v>
      </c>
      <c r="F40">
        <f ca="1"/>
        <v>0</v>
      </c>
      <c r="G40">
        <f ca="1"/>
        <v>0</v>
      </c>
      <c r="H40">
        <f ca="1"/>
        <v>0</v>
      </c>
      <c r="I40">
        <f ca="1"/>
        <v>0</v>
      </c>
      <c r="J40">
        <f ca="1"/>
        <v>20</v>
      </c>
      <c r="K40">
        <f ca="1"/>
        <v>0</v>
      </c>
      <c r="L40">
        <f ca="1"/>
        <v>691880.06622066698</v>
      </c>
      <c r="M40">
        <f ca="1"/>
        <v>7570339.6771672796</v>
      </c>
      <c r="N40" t="str">
        <f ca="1"/>
        <v>R-11</v>
      </c>
      <c r="O40" t="str">
        <f ca="1"/>
        <v>R-11</v>
      </c>
      <c r="P40">
        <f ca="1"/>
        <v>1</v>
      </c>
      <c r="Q40">
        <f ca="1"/>
        <v>2.566893034509409</v>
      </c>
      <c r="R40" s="2">
        <f ca="1"/>
        <v>5.2359999999999998</v>
      </c>
      <c r="S40">
        <f ca="1"/>
        <v>0.64000000000000012</v>
      </c>
      <c r="T40">
        <f ca="1"/>
        <v>691880.06622066698</v>
      </c>
      <c r="U40">
        <f ca="1"/>
        <v>7570339.6771672796</v>
      </c>
    </row>
    <row r="41" spans="1:21" x14ac:dyDescent="0.25">
      <c r="A41">
        <f ca="1"/>
        <v>40</v>
      </c>
      <c r="B41" t="str">
        <f ca="1"/>
        <v>CN</v>
      </c>
      <c r="C41" t="str">
        <f ca="1"/>
        <v>Z</v>
      </c>
      <c r="D41" t="str">
        <f ca="1"/>
        <v>R-11_D</v>
      </c>
      <c r="E41">
        <f ca="1"/>
        <v>0</v>
      </c>
      <c r="F41">
        <f ca="1"/>
        <v>0</v>
      </c>
      <c r="G41">
        <f ca="1"/>
        <v>0</v>
      </c>
      <c r="H41">
        <f ca="1"/>
        <v>0</v>
      </c>
      <c r="I41">
        <f ca="1"/>
        <v>0</v>
      </c>
      <c r="J41">
        <f ca="1"/>
        <v>20</v>
      </c>
      <c r="K41">
        <f ca="1"/>
        <v>1</v>
      </c>
      <c r="L41">
        <f ca="1"/>
        <v>691878.10593358951</v>
      </c>
      <c r="M41">
        <f ca="1"/>
        <v>7570337.827627182</v>
      </c>
      <c r="N41" t="str">
        <f ca="1"/>
        <v>R-11</v>
      </c>
      <c r="O41" t="str">
        <f ca="1"/>
        <v>R-11</v>
      </c>
      <c r="P41">
        <f ca="1"/>
        <v>1</v>
      </c>
      <c r="Q41">
        <f ca="1"/>
        <v>2.566893034509409</v>
      </c>
      <c r="R41" s="2">
        <f ca="1"/>
        <v>5.2359999999999998</v>
      </c>
      <c r="S41">
        <f ca="1"/>
        <v>0.64000000000000012</v>
      </c>
      <c r="T41">
        <f ca="1"/>
        <v>691880.06622066698</v>
      </c>
      <c r="U41">
        <f ca="1"/>
        <v>7570339.6771672796</v>
      </c>
    </row>
    <row r="42" spans="1:21" x14ac:dyDescent="0.25">
      <c r="A42">
        <f ca="1"/>
        <v>41</v>
      </c>
      <c r="B42" t="str">
        <f ca="1"/>
        <v>SX</v>
      </c>
      <c r="C42" t="str">
        <f ca="1"/>
        <v>Z</v>
      </c>
      <c r="D42" t="str">
        <f ca="1"/>
        <v>R-12_U</v>
      </c>
      <c r="E42">
        <f ca="1"/>
        <v>0</v>
      </c>
      <c r="F42">
        <f ca="1"/>
        <v>0</v>
      </c>
      <c r="G42">
        <f ca="1"/>
        <v>0</v>
      </c>
      <c r="H42">
        <f ca="1"/>
        <v>0</v>
      </c>
      <c r="I42">
        <f ca="1"/>
        <v>0</v>
      </c>
      <c r="J42">
        <f ca="1"/>
        <v>21</v>
      </c>
      <c r="K42">
        <f ca="1"/>
        <v>0</v>
      </c>
      <c r="L42">
        <f ca="1"/>
        <v>692036.20552867441</v>
      </c>
      <c r="M42">
        <f ca="1"/>
        <v>7570739.4059209619</v>
      </c>
      <c r="N42" t="str">
        <f ca="1"/>
        <v>R-12</v>
      </c>
      <c r="O42" t="str">
        <f ca="1"/>
        <v>R-12</v>
      </c>
      <c r="P42">
        <f ca="1"/>
        <v>0</v>
      </c>
      <c r="Q42">
        <f ca="1"/>
        <v>-0.77470338384862458</v>
      </c>
      <c r="R42" s="2">
        <f ca="1"/>
        <v>2.7159999999999997</v>
      </c>
      <c r="S42">
        <f ca="1"/>
        <v>0.64000000000000012</v>
      </c>
      <c r="T42">
        <f ca="1"/>
        <v>692036.69809301896</v>
      </c>
      <c r="U42">
        <f ca="1"/>
        <v>7570740.8240691796</v>
      </c>
    </row>
    <row r="43" spans="1:21" x14ac:dyDescent="0.25">
      <c r="A43">
        <f ca="1"/>
        <v>42</v>
      </c>
      <c r="B43" t="str">
        <f ca="1"/>
        <v>SX</v>
      </c>
      <c r="C43" t="str">
        <f ca="1"/>
        <v>Z</v>
      </c>
      <c r="D43" t="str">
        <f ca="1"/>
        <v>R-12_U</v>
      </c>
      <c r="E43">
        <f ca="1"/>
        <v>0</v>
      </c>
      <c r="F43">
        <f ca="1"/>
        <v>0</v>
      </c>
      <c r="G43">
        <f ca="1"/>
        <v>0</v>
      </c>
      <c r="H43">
        <f ca="1"/>
        <v>0</v>
      </c>
      <c r="I43">
        <f ca="1"/>
        <v>0</v>
      </c>
      <c r="J43">
        <f ca="1"/>
        <v>21</v>
      </c>
      <c r="K43">
        <f ca="1"/>
        <v>1</v>
      </c>
      <c r="L43">
        <f ca="1"/>
        <v>692038.10538190708</v>
      </c>
      <c r="M43">
        <f ca="1"/>
        <v>7570741.3468521032</v>
      </c>
      <c r="N43" t="str">
        <f ca="1"/>
        <v>R-12</v>
      </c>
      <c r="O43" t="str">
        <f ca="1"/>
        <v>R-12</v>
      </c>
      <c r="P43">
        <f ca="1"/>
        <v>0</v>
      </c>
      <c r="Q43">
        <f ca="1"/>
        <v>-0.77470338384862458</v>
      </c>
      <c r="R43" s="2">
        <f ca="1"/>
        <v>2.7159999999999997</v>
      </c>
      <c r="S43">
        <f ca="1"/>
        <v>0.64000000000000012</v>
      </c>
      <c r="T43">
        <f ca="1"/>
        <v>692036.69809301896</v>
      </c>
      <c r="U43">
        <f ca="1"/>
        <v>7570740.8240691796</v>
      </c>
    </row>
    <row r="44" spans="1:21" x14ac:dyDescent="0.25">
      <c r="A44">
        <f ca="1"/>
        <v>43</v>
      </c>
      <c r="B44" t="str">
        <f ca="1"/>
        <v>CN</v>
      </c>
      <c r="C44" t="str">
        <f ca="1"/>
        <v>Z</v>
      </c>
      <c r="D44" t="str">
        <f ca="1"/>
        <v>R-12_U</v>
      </c>
      <c r="E44">
        <f ca="1"/>
        <v>0</v>
      </c>
      <c r="F44">
        <f ca="1"/>
        <v>0</v>
      </c>
      <c r="G44">
        <f ca="1"/>
        <v>0</v>
      </c>
      <c r="H44">
        <f ca="1"/>
        <v>0</v>
      </c>
      <c r="I44">
        <f ca="1"/>
        <v>0</v>
      </c>
      <c r="J44">
        <f ca="1"/>
        <v>22</v>
      </c>
      <c r="K44">
        <f ca="1"/>
        <v>0</v>
      </c>
      <c r="L44">
        <f ca="1"/>
        <v>692036.69809301896</v>
      </c>
      <c r="M44">
        <f ca="1"/>
        <v>7570740.8240691796</v>
      </c>
      <c r="N44" t="str">
        <f ca="1"/>
        <v>R-12</v>
      </c>
      <c r="O44" t="str">
        <f ca="1"/>
        <v>R-12</v>
      </c>
      <c r="P44">
        <f ca="1"/>
        <v>0</v>
      </c>
      <c r="Q44">
        <f ca="1"/>
        <v>-0.77470338384862458</v>
      </c>
      <c r="R44" s="2">
        <f ca="1"/>
        <v>2.7159999999999997</v>
      </c>
      <c r="S44">
        <f ca="1"/>
        <v>0.64000000000000012</v>
      </c>
      <c r="T44">
        <f ca="1"/>
        <v>692036.69809301896</v>
      </c>
      <c r="U44">
        <f ca="1"/>
        <v>7570740.8240691796</v>
      </c>
    </row>
    <row r="45" spans="1:21" x14ac:dyDescent="0.25">
      <c r="A45">
        <f ca="1"/>
        <v>44</v>
      </c>
      <c r="B45" t="str">
        <f ca="1"/>
        <v>CN</v>
      </c>
      <c r="C45" t="str">
        <f ca="1"/>
        <v>Z</v>
      </c>
      <c r="D45" t="str">
        <f ca="1"/>
        <v>R-12_U</v>
      </c>
      <c r="E45">
        <f ca="1"/>
        <v>0</v>
      </c>
      <c r="F45">
        <f ca="1"/>
        <v>0</v>
      </c>
      <c r="G45">
        <f ca="1"/>
        <v>0</v>
      </c>
      <c r="H45">
        <f ca="1"/>
        <v>0</v>
      </c>
      <c r="I45">
        <f ca="1"/>
        <v>0</v>
      </c>
      <c r="J45">
        <f ca="1"/>
        <v>22</v>
      </c>
      <c r="K45">
        <f ca="1"/>
        <v>1</v>
      </c>
      <c r="L45">
        <f ca="1"/>
        <v>692038.10538190708</v>
      </c>
      <c r="M45">
        <f ca="1"/>
        <v>7570741.3468521032</v>
      </c>
      <c r="N45" t="str">
        <f ca="1"/>
        <v>R-12</v>
      </c>
      <c r="O45" t="str">
        <f ca="1"/>
        <v>R-12</v>
      </c>
      <c r="P45">
        <f ca="1"/>
        <v>0</v>
      </c>
      <c r="Q45">
        <f ca="1"/>
        <v>-0.77470338384862458</v>
      </c>
      <c r="R45" s="2">
        <f ca="1"/>
        <v>2.7159999999999997</v>
      </c>
      <c r="S45">
        <f ca="1"/>
        <v>0.64000000000000012</v>
      </c>
      <c r="T45">
        <f ca="1"/>
        <v>692036.69809301896</v>
      </c>
      <c r="U45">
        <f ca="1"/>
        <v>7570740.8240691796</v>
      </c>
    </row>
    <row r="46" spans="1:21" x14ac:dyDescent="0.25">
      <c r="A46">
        <f ca="1"/>
        <v>45</v>
      </c>
      <c r="B46" t="str">
        <f ca="1"/>
        <v>SX</v>
      </c>
      <c r="C46" t="str">
        <f ca="1"/>
        <v>Z</v>
      </c>
      <c r="D46" t="str">
        <f ca="1"/>
        <v>R-12_D</v>
      </c>
      <c r="E46">
        <f ca="1"/>
        <v>0</v>
      </c>
      <c r="F46">
        <f ca="1"/>
        <v>0</v>
      </c>
      <c r="G46">
        <f ca="1"/>
        <v>0</v>
      </c>
      <c r="H46">
        <f ca="1"/>
        <v>0</v>
      </c>
      <c r="I46">
        <f ca="1"/>
        <v>0</v>
      </c>
      <c r="J46">
        <f ca="1"/>
        <v>23</v>
      </c>
      <c r="K46">
        <f ca="1"/>
        <v>0</v>
      </c>
      <c r="L46">
        <f ca="1"/>
        <v>692013.21454513958</v>
      </c>
      <c r="M46">
        <f ca="1"/>
        <v>7570765.7108986676</v>
      </c>
      <c r="N46" t="str">
        <f ca="1"/>
        <v>R-12</v>
      </c>
      <c r="O46" t="str">
        <f ca="1"/>
        <v>R-12</v>
      </c>
      <c r="P46">
        <f ca="1"/>
        <v>1</v>
      </c>
      <c r="Q46">
        <f ca="1"/>
        <v>2.3668892697411676</v>
      </c>
      <c r="R46" s="2">
        <f ca="1"/>
        <v>2.7159999999999997</v>
      </c>
      <c r="S46">
        <f ca="1"/>
        <v>0.64000000000000012</v>
      </c>
      <c r="T46">
        <f ca="1"/>
        <v>692012.72198079503</v>
      </c>
      <c r="U46">
        <f ca="1"/>
        <v>7570764.2927504499</v>
      </c>
    </row>
    <row r="47" spans="1:21" x14ac:dyDescent="0.25">
      <c r="A47">
        <f ca="1"/>
        <v>46</v>
      </c>
      <c r="B47" t="str">
        <f ca="1"/>
        <v>SX</v>
      </c>
      <c r="C47" t="str">
        <f ca="1"/>
        <v>Z</v>
      </c>
      <c r="D47" t="str">
        <f ca="1"/>
        <v>R-12_D</v>
      </c>
      <c r="E47">
        <f ca="1"/>
        <v>0</v>
      </c>
      <c r="F47">
        <f ca="1"/>
        <v>0</v>
      </c>
      <c r="G47">
        <f ca="1"/>
        <v>0</v>
      </c>
      <c r="H47">
        <f ca="1"/>
        <v>0</v>
      </c>
      <c r="I47">
        <f ca="1"/>
        <v>0</v>
      </c>
      <c r="J47">
        <f ca="1"/>
        <v>23</v>
      </c>
      <c r="K47">
        <f ca="1"/>
        <v>1</v>
      </c>
      <c r="L47">
        <f ca="1"/>
        <v>692011.31469190691</v>
      </c>
      <c r="M47">
        <f ca="1"/>
        <v>7570763.7699675262</v>
      </c>
      <c r="N47" t="str">
        <f ca="1"/>
        <v>R-12</v>
      </c>
      <c r="O47" t="str">
        <f ca="1"/>
        <v>R-12</v>
      </c>
      <c r="P47">
        <f ca="1"/>
        <v>1</v>
      </c>
      <c r="Q47">
        <f ca="1"/>
        <v>2.3668892697411676</v>
      </c>
      <c r="R47" s="2">
        <f ca="1"/>
        <v>2.7159999999999997</v>
      </c>
      <c r="S47">
        <f ca="1"/>
        <v>0.64000000000000012</v>
      </c>
      <c r="T47">
        <f ca="1"/>
        <v>692012.72198079503</v>
      </c>
      <c r="U47">
        <f ca="1"/>
        <v>7570764.2927504499</v>
      </c>
    </row>
    <row r="48" spans="1:21" x14ac:dyDescent="0.25">
      <c r="A48">
        <f ca="1"/>
        <v>47</v>
      </c>
      <c r="B48" t="str">
        <f ca="1"/>
        <v>CN</v>
      </c>
      <c r="C48" t="str">
        <f ca="1"/>
        <v>Z</v>
      </c>
      <c r="D48" t="str">
        <f ca="1"/>
        <v>R-12_D</v>
      </c>
      <c r="E48">
        <f ca="1"/>
        <v>0</v>
      </c>
      <c r="F48">
        <f ca="1"/>
        <v>0</v>
      </c>
      <c r="G48">
        <f ca="1"/>
        <v>0</v>
      </c>
      <c r="H48">
        <f ca="1"/>
        <v>0</v>
      </c>
      <c r="I48">
        <f ca="1"/>
        <v>0</v>
      </c>
      <c r="J48">
        <f ca="1"/>
        <v>24</v>
      </c>
      <c r="K48">
        <f ca="1"/>
        <v>0</v>
      </c>
      <c r="L48">
        <f ca="1"/>
        <v>692012.72198079503</v>
      </c>
      <c r="M48">
        <f ca="1"/>
        <v>7570764.2927504499</v>
      </c>
      <c r="N48" t="str">
        <f ca="1"/>
        <v>R-12</v>
      </c>
      <c r="O48" t="str">
        <f ca="1"/>
        <v>R-12</v>
      </c>
      <c r="P48">
        <f ca="1"/>
        <v>1</v>
      </c>
      <c r="Q48">
        <f ca="1"/>
        <v>2.3668892697411676</v>
      </c>
      <c r="R48" s="2">
        <f ca="1"/>
        <v>2.7159999999999997</v>
      </c>
      <c r="S48">
        <f ca="1"/>
        <v>0.64000000000000012</v>
      </c>
      <c r="T48">
        <f ca="1"/>
        <v>692012.72198079503</v>
      </c>
      <c r="U48">
        <f ca="1"/>
        <v>7570764.2927504499</v>
      </c>
    </row>
    <row r="49" spans="1:21" x14ac:dyDescent="0.25">
      <c r="A49">
        <f ca="1"/>
        <v>48</v>
      </c>
      <c r="B49" t="str">
        <f ca="1"/>
        <v>CN</v>
      </c>
      <c r="C49" t="str">
        <f ca="1"/>
        <v>Z</v>
      </c>
      <c r="D49" t="str">
        <f ca="1"/>
        <v>R-12_D</v>
      </c>
      <c r="E49">
        <f ca="1"/>
        <v>0</v>
      </c>
      <c r="F49">
        <f ca="1"/>
        <v>0</v>
      </c>
      <c r="G49">
        <f ca="1"/>
        <v>0</v>
      </c>
      <c r="H49">
        <f ca="1"/>
        <v>0</v>
      </c>
      <c r="I49">
        <f ca="1"/>
        <v>0</v>
      </c>
      <c r="J49">
        <f ca="1"/>
        <v>24</v>
      </c>
      <c r="K49">
        <f ca="1"/>
        <v>1</v>
      </c>
      <c r="L49">
        <f ca="1"/>
        <v>692011.31469190691</v>
      </c>
      <c r="M49">
        <f ca="1"/>
        <v>7570763.7699675262</v>
      </c>
      <c r="N49" t="str">
        <f ca="1"/>
        <v>R-12</v>
      </c>
      <c r="O49" t="str">
        <f ca="1"/>
        <v>R-12</v>
      </c>
      <c r="P49">
        <f ca="1"/>
        <v>1</v>
      </c>
      <c r="Q49">
        <f ca="1"/>
        <v>2.3668892697411676</v>
      </c>
      <c r="R49" s="2">
        <f ca="1"/>
        <v>2.7159999999999997</v>
      </c>
      <c r="S49">
        <f ca="1"/>
        <v>0.64000000000000012</v>
      </c>
      <c r="T49">
        <f ca="1"/>
        <v>692012.72198079503</v>
      </c>
      <c r="U49">
        <f ca="1"/>
        <v>7570764.2927504499</v>
      </c>
    </row>
    <row r="50" spans="1:21" x14ac:dyDescent="0.25">
      <c r="A50">
        <f ca="1"/>
        <v>49</v>
      </c>
      <c r="B50" t="str">
        <f ca="1"/>
        <v>SX</v>
      </c>
      <c r="C50" t="str">
        <f ca="1"/>
        <v>Z</v>
      </c>
      <c r="D50" t="str">
        <f ca="1"/>
        <v>R-13_U</v>
      </c>
      <c r="E50">
        <f ca="1"/>
        <v>0</v>
      </c>
      <c r="F50">
        <f ca="1"/>
        <v>0</v>
      </c>
      <c r="G50">
        <f ca="1"/>
        <v>0</v>
      </c>
      <c r="H50">
        <f ca="1"/>
        <v>0</v>
      </c>
      <c r="I50">
        <f ca="1"/>
        <v>0</v>
      </c>
      <c r="J50">
        <f ca="1"/>
        <v>25</v>
      </c>
      <c r="K50">
        <f ca="1"/>
        <v>0</v>
      </c>
      <c r="L50">
        <f ca="1"/>
        <v>692160.75947577727</v>
      </c>
      <c r="M50">
        <f ca="1"/>
        <v>7571143.53618812</v>
      </c>
      <c r="N50" t="str">
        <f ca="1"/>
        <v>R-13</v>
      </c>
      <c r="O50" t="str">
        <f ca="1"/>
        <v>R-13</v>
      </c>
      <c r="P50">
        <f ca="1"/>
        <v>0</v>
      </c>
      <c r="Q50">
        <f ca="1"/>
        <v>-0.26279498343432195</v>
      </c>
      <c r="R50" s="2">
        <f ca="1"/>
        <v>6.7480000000000002</v>
      </c>
      <c r="S50">
        <f ca="1"/>
        <v>0.64000000000000012</v>
      </c>
      <c r="T50">
        <f ca="1"/>
        <v>692161.01794817403</v>
      </c>
      <c r="U50">
        <f ca="1"/>
        <v>7571146.9606104102</v>
      </c>
    </row>
    <row r="51" spans="1:21" x14ac:dyDescent="0.25">
      <c r="A51">
        <f ca="1"/>
        <v>50</v>
      </c>
      <c r="B51" t="str">
        <f ca="1"/>
        <v>SX</v>
      </c>
      <c r="C51" t="str">
        <f ca="1"/>
        <v>Z</v>
      </c>
      <c r="D51" t="str">
        <f ca="1"/>
        <v>R-13_U</v>
      </c>
      <c r="E51">
        <f ca="1"/>
        <v>0</v>
      </c>
      <c r="F51">
        <f ca="1"/>
        <v>0</v>
      </c>
      <c r="G51">
        <f ca="1"/>
        <v>0</v>
      </c>
      <c r="H51">
        <f ca="1"/>
        <v>0</v>
      </c>
      <c r="I51">
        <f ca="1"/>
        <v>0</v>
      </c>
      <c r="J51">
        <f ca="1"/>
        <v>25</v>
      </c>
      <c r="K51">
        <f ca="1"/>
        <v>1</v>
      </c>
      <c r="L51">
        <f ca="1"/>
        <v>692162.51247518649</v>
      </c>
      <c r="M51">
        <f ca="1"/>
        <v>7571150.0525135472</v>
      </c>
      <c r="N51" t="str">
        <f ca="1"/>
        <v>R-13</v>
      </c>
      <c r="O51" t="str">
        <f ca="1"/>
        <v>R-13</v>
      </c>
      <c r="P51">
        <f ca="1"/>
        <v>0</v>
      </c>
      <c r="Q51">
        <f ca="1"/>
        <v>-0.26279498343432195</v>
      </c>
      <c r="R51" s="2">
        <f ca="1"/>
        <v>6.7480000000000002</v>
      </c>
      <c r="S51">
        <f ca="1"/>
        <v>0.64000000000000012</v>
      </c>
      <c r="T51">
        <f ca="1"/>
        <v>692161.01794817403</v>
      </c>
      <c r="U51">
        <f ca="1"/>
        <v>7571146.9606104102</v>
      </c>
    </row>
    <row r="52" spans="1:21" x14ac:dyDescent="0.25">
      <c r="A52">
        <f ca="1"/>
        <v>51</v>
      </c>
      <c r="B52" t="str">
        <f ca="1"/>
        <v>CN</v>
      </c>
      <c r="C52" t="str">
        <f ca="1"/>
        <v>Z</v>
      </c>
      <c r="D52" t="str">
        <f ca="1"/>
        <v>R-13_U</v>
      </c>
      <c r="E52">
        <f ca="1"/>
        <v>0</v>
      </c>
      <c r="F52">
        <f ca="1"/>
        <v>0</v>
      </c>
      <c r="G52">
        <f ca="1"/>
        <v>0</v>
      </c>
      <c r="H52">
        <f ca="1"/>
        <v>0</v>
      </c>
      <c r="I52">
        <f ca="1"/>
        <v>0</v>
      </c>
      <c r="J52">
        <f ca="1"/>
        <v>26</v>
      </c>
      <c r="K52">
        <f ca="1"/>
        <v>0</v>
      </c>
      <c r="L52">
        <f ca="1"/>
        <v>692161.01794817403</v>
      </c>
      <c r="M52">
        <f ca="1"/>
        <v>7571146.9606104102</v>
      </c>
      <c r="N52" t="str">
        <f ca="1"/>
        <v>R-13</v>
      </c>
      <c r="O52" t="str">
        <f ca="1"/>
        <v>R-13</v>
      </c>
      <c r="P52">
        <f ca="1"/>
        <v>0</v>
      </c>
      <c r="Q52">
        <f ca="1"/>
        <v>-0.26279498343432195</v>
      </c>
      <c r="R52" s="2">
        <f ca="1"/>
        <v>6.7480000000000002</v>
      </c>
      <c r="S52">
        <f ca="1"/>
        <v>0.64000000000000012</v>
      </c>
      <c r="T52">
        <f ca="1"/>
        <v>692161.01794817403</v>
      </c>
      <c r="U52">
        <f ca="1"/>
        <v>7571146.9606104102</v>
      </c>
    </row>
    <row r="53" spans="1:21" x14ac:dyDescent="0.25">
      <c r="A53">
        <f ca="1"/>
        <v>52</v>
      </c>
      <c r="B53" t="str">
        <f ca="1"/>
        <v>CN</v>
      </c>
      <c r="C53" t="str">
        <f ca="1"/>
        <v>Z</v>
      </c>
      <c r="D53" t="str">
        <f ca="1"/>
        <v>R-13_U</v>
      </c>
      <c r="E53">
        <f ca="1"/>
        <v>0</v>
      </c>
      <c r="F53">
        <f ca="1"/>
        <v>0</v>
      </c>
      <c r="G53">
        <f ca="1"/>
        <v>0</v>
      </c>
      <c r="H53">
        <f ca="1"/>
        <v>0</v>
      </c>
      <c r="I53">
        <f ca="1"/>
        <v>0</v>
      </c>
      <c r="J53">
        <f ca="1"/>
        <v>26</v>
      </c>
      <c r="K53">
        <f ca="1"/>
        <v>1</v>
      </c>
      <c r="L53">
        <f ca="1"/>
        <v>692162.51247518649</v>
      </c>
      <c r="M53">
        <f ca="1"/>
        <v>7571150.0525135472</v>
      </c>
      <c r="N53" t="str">
        <f ca="1"/>
        <v>R-13</v>
      </c>
      <c r="O53" t="str">
        <f ca="1"/>
        <v>R-13</v>
      </c>
      <c r="P53">
        <f ca="1"/>
        <v>0</v>
      </c>
      <c r="Q53">
        <f ca="1"/>
        <v>-0.26279498343432195</v>
      </c>
      <c r="R53" s="2">
        <f ca="1"/>
        <v>6.7480000000000002</v>
      </c>
      <c r="S53">
        <f ca="1"/>
        <v>0.64000000000000012</v>
      </c>
      <c r="T53">
        <f ca="1"/>
        <v>692161.01794817403</v>
      </c>
      <c r="U53">
        <f ca="1"/>
        <v>7571146.9606104102</v>
      </c>
    </row>
    <row r="54" spans="1:21" x14ac:dyDescent="0.25">
      <c r="A54">
        <f ca="1"/>
        <v>53</v>
      </c>
      <c r="B54" t="str">
        <f ca="1"/>
        <v>SX</v>
      </c>
      <c r="C54" t="str">
        <f ca="1"/>
        <v>Z</v>
      </c>
      <c r="D54" t="str">
        <f ca="1"/>
        <v>R-13_D</v>
      </c>
      <c r="E54">
        <f ca="1"/>
        <v>0</v>
      </c>
      <c r="F54">
        <f ca="1"/>
        <v>0</v>
      </c>
      <c r="G54">
        <f ca="1"/>
        <v>0</v>
      </c>
      <c r="H54">
        <f ca="1"/>
        <v>0</v>
      </c>
      <c r="I54">
        <f ca="1"/>
        <v>0</v>
      </c>
      <c r="J54">
        <f ca="1"/>
        <v>27</v>
      </c>
      <c r="K54">
        <f ca="1"/>
        <v>0</v>
      </c>
      <c r="L54">
        <f ca="1"/>
        <v>692109.64604850474</v>
      </c>
      <c r="M54">
        <f ca="1"/>
        <v>7571164.2744574603</v>
      </c>
      <c r="N54" t="str">
        <f ca="1"/>
        <v>R-13</v>
      </c>
      <c r="O54" t="str">
        <f ca="1"/>
        <v>R-13</v>
      </c>
      <c r="P54">
        <f ca="1"/>
        <v>1</v>
      </c>
      <c r="Q54">
        <f ca="1"/>
        <v>2.8787976701554721</v>
      </c>
      <c r="R54" s="2">
        <f ca="1"/>
        <v>6.7480000000000002</v>
      </c>
      <c r="S54">
        <f ca="1"/>
        <v>0.64000000000000012</v>
      </c>
      <c r="T54">
        <f ca="1"/>
        <v>692109.38757610798</v>
      </c>
      <c r="U54">
        <f ca="1"/>
        <v>7571160.8500351701</v>
      </c>
    </row>
    <row r="55" spans="1:21" x14ac:dyDescent="0.25">
      <c r="A55">
        <f ca="1"/>
        <v>54</v>
      </c>
      <c r="B55" t="str">
        <f ca="1"/>
        <v>SX</v>
      </c>
      <c r="C55" t="str">
        <f ca="1"/>
        <v>Z</v>
      </c>
      <c r="D55" t="str">
        <f ca="1"/>
        <v>R-13_D</v>
      </c>
      <c r="E55">
        <f ca="1"/>
        <v>0</v>
      </c>
      <c r="F55">
        <f ca="1"/>
        <v>0</v>
      </c>
      <c r="G55">
        <f ca="1"/>
        <v>0</v>
      </c>
      <c r="H55">
        <f ca="1"/>
        <v>0</v>
      </c>
      <c r="I55">
        <f ca="1"/>
        <v>0</v>
      </c>
      <c r="J55">
        <f ca="1"/>
        <v>27</v>
      </c>
      <c r="K55">
        <f ca="1"/>
        <v>1</v>
      </c>
      <c r="L55">
        <f ca="1"/>
        <v>692107.89304909552</v>
      </c>
      <c r="M55">
        <f ca="1"/>
        <v>7571157.7581320331</v>
      </c>
      <c r="N55" t="str">
        <f ca="1"/>
        <v>R-13</v>
      </c>
      <c r="O55" t="str">
        <f ca="1"/>
        <v>R-13</v>
      </c>
      <c r="P55">
        <f ca="1"/>
        <v>1</v>
      </c>
      <c r="Q55">
        <f ca="1"/>
        <v>2.8787976701554721</v>
      </c>
      <c r="R55" s="2">
        <f ca="1"/>
        <v>6.7480000000000002</v>
      </c>
      <c r="S55">
        <f ca="1"/>
        <v>0.64000000000000012</v>
      </c>
      <c r="T55">
        <f ca="1"/>
        <v>692109.38757610798</v>
      </c>
      <c r="U55">
        <f ca="1"/>
        <v>7571160.8500351701</v>
      </c>
    </row>
    <row r="56" spans="1:21" x14ac:dyDescent="0.25">
      <c r="A56">
        <f ca="1"/>
        <v>55</v>
      </c>
      <c r="B56" t="str">
        <f ca="1"/>
        <v>CN</v>
      </c>
      <c r="C56" t="str">
        <f ca="1"/>
        <v>Z</v>
      </c>
      <c r="D56" t="str">
        <f ca="1"/>
        <v>R-13_D</v>
      </c>
      <c r="E56">
        <f ca="1"/>
        <v>0</v>
      </c>
      <c r="F56">
        <f ca="1"/>
        <v>0</v>
      </c>
      <c r="G56">
        <f ca="1"/>
        <v>0</v>
      </c>
      <c r="H56">
        <f ca="1"/>
        <v>0</v>
      </c>
      <c r="I56">
        <f ca="1"/>
        <v>0</v>
      </c>
      <c r="J56">
        <f ca="1"/>
        <v>28</v>
      </c>
      <c r="K56">
        <f ca="1"/>
        <v>0</v>
      </c>
      <c r="L56">
        <f ca="1"/>
        <v>692109.38757610798</v>
      </c>
      <c r="M56">
        <f ca="1"/>
        <v>7571160.8500351701</v>
      </c>
      <c r="N56" t="str">
        <f ca="1"/>
        <v>R-13</v>
      </c>
      <c r="O56" t="str">
        <f ca="1"/>
        <v>R-13</v>
      </c>
      <c r="P56">
        <f ca="1"/>
        <v>1</v>
      </c>
      <c r="Q56">
        <f ca="1"/>
        <v>2.8787976701554721</v>
      </c>
      <c r="R56" s="2">
        <f ca="1"/>
        <v>6.7480000000000002</v>
      </c>
      <c r="S56">
        <f ca="1"/>
        <v>0.64000000000000012</v>
      </c>
      <c r="T56">
        <f ca="1"/>
        <v>692109.38757610798</v>
      </c>
      <c r="U56">
        <f ca="1"/>
        <v>7571160.8500351701</v>
      </c>
    </row>
    <row r="57" spans="1:21" x14ac:dyDescent="0.25">
      <c r="A57">
        <f ca="1"/>
        <v>56</v>
      </c>
      <c r="B57" t="str">
        <f ca="1"/>
        <v>CN</v>
      </c>
      <c r="C57" t="str">
        <f ca="1"/>
        <v>Z</v>
      </c>
      <c r="D57" t="str">
        <f ca="1"/>
        <v>R-13_D</v>
      </c>
      <c r="E57">
        <f ca="1"/>
        <v>0</v>
      </c>
      <c r="F57">
        <f ca="1"/>
        <v>0</v>
      </c>
      <c r="G57">
        <f ca="1"/>
        <v>0</v>
      </c>
      <c r="H57">
        <f ca="1"/>
        <v>0</v>
      </c>
      <c r="I57">
        <f ca="1"/>
        <v>0</v>
      </c>
      <c r="J57">
        <f ca="1"/>
        <v>28</v>
      </c>
      <c r="K57">
        <f ca="1"/>
        <v>1</v>
      </c>
      <c r="L57">
        <f ca="1"/>
        <v>692107.89304909552</v>
      </c>
      <c r="M57">
        <f ca="1"/>
        <v>7571157.7581320331</v>
      </c>
      <c r="N57" t="str">
        <f ca="1"/>
        <v>R-13</v>
      </c>
      <c r="O57" t="str">
        <f ca="1"/>
        <v>R-13</v>
      </c>
      <c r="P57">
        <f ca="1"/>
        <v>1</v>
      </c>
      <c r="Q57">
        <f ca="1"/>
        <v>2.8787976701554721</v>
      </c>
      <c r="R57" s="2">
        <f ca="1"/>
        <v>6.7480000000000002</v>
      </c>
      <c r="S57">
        <f ca="1"/>
        <v>0.64000000000000012</v>
      </c>
      <c r="T57">
        <f ca="1"/>
        <v>692109.38757610798</v>
      </c>
      <c r="U57">
        <f ca="1"/>
        <v>7571160.8500351701</v>
      </c>
    </row>
    <row r="58" spans="1:21" x14ac:dyDescent="0.25">
      <c r="A58">
        <f ca="1"/>
        <v>57</v>
      </c>
      <c r="B58" t="str">
        <f ca="1"/>
        <v>SX</v>
      </c>
      <c r="C58" t="str">
        <f ca="1"/>
        <v>Z</v>
      </c>
      <c r="D58" t="str">
        <f ca="1"/>
        <v>R-14_U</v>
      </c>
      <c r="E58">
        <f ca="1"/>
        <v>0</v>
      </c>
      <c r="F58">
        <f ca="1"/>
        <v>0</v>
      </c>
      <c r="G58">
        <f ca="1"/>
        <v>0</v>
      </c>
      <c r="H58">
        <f ca="1"/>
        <v>0</v>
      </c>
      <c r="I58">
        <f ca="1"/>
        <v>0</v>
      </c>
      <c r="J58">
        <f ca="1"/>
        <v>29</v>
      </c>
      <c r="K58">
        <f ca="1"/>
        <v>0</v>
      </c>
      <c r="L58">
        <f ca="1"/>
        <v>692209.16492290655</v>
      </c>
      <c r="M58">
        <f ca="1"/>
        <v>7571612.27152343</v>
      </c>
      <c r="N58" t="str">
        <f ca="1"/>
        <v>R-14</v>
      </c>
      <c r="O58" t="str">
        <f ca="1"/>
        <v>R-14</v>
      </c>
      <c r="P58">
        <f ca="1"/>
        <v>0</v>
      </c>
      <c r="Q58">
        <f ca="1"/>
        <v>4.1642579093552623E-2</v>
      </c>
      <c r="R58" s="2">
        <f ca="1"/>
        <v>6.7480000000000002</v>
      </c>
      <c r="S58">
        <f ca="1"/>
        <v>0.64000000000000012</v>
      </c>
      <c r="T58">
        <f ca="1"/>
        <v>692208.38501628197</v>
      </c>
      <c r="U58">
        <f ca="1"/>
        <v>7571615.6159548704</v>
      </c>
    </row>
    <row r="59" spans="1:21" x14ac:dyDescent="0.25">
      <c r="A59">
        <f ca="1"/>
        <v>58</v>
      </c>
      <c r="B59" t="str">
        <f ca="1"/>
        <v>SX</v>
      </c>
      <c r="C59" t="str">
        <f ca="1"/>
        <v>Z</v>
      </c>
      <c r="D59" t="str">
        <f ca="1"/>
        <v>R-14_U</v>
      </c>
      <c r="E59">
        <f ca="1"/>
        <v>0</v>
      </c>
      <c r="F59">
        <f ca="1"/>
        <v>0</v>
      </c>
      <c r="G59">
        <f ca="1"/>
        <v>0</v>
      </c>
      <c r="H59">
        <f ca="1"/>
        <v>0</v>
      </c>
      <c r="I59">
        <f ca="1"/>
        <v>0</v>
      </c>
      <c r="J59">
        <f ca="1"/>
        <v>29</v>
      </c>
      <c r="K59">
        <f ca="1"/>
        <v>1</v>
      </c>
      <c r="L59">
        <f ca="1"/>
        <v>692208.88399999088</v>
      </c>
      <c r="M59">
        <f ca="1"/>
        <v>7571619.013673408</v>
      </c>
      <c r="N59" t="str">
        <f ca="1"/>
        <v>R-14</v>
      </c>
      <c r="O59" t="str">
        <f ca="1"/>
        <v>R-14</v>
      </c>
      <c r="P59">
        <f ca="1"/>
        <v>0</v>
      </c>
      <c r="Q59">
        <f ca="1"/>
        <v>4.1642579093552623E-2</v>
      </c>
      <c r="R59" s="2">
        <f ca="1"/>
        <v>6.7480000000000002</v>
      </c>
      <c r="S59">
        <f ca="1"/>
        <v>0.64000000000000012</v>
      </c>
      <c r="T59">
        <f ca="1"/>
        <v>692208.38501628197</v>
      </c>
      <c r="U59">
        <f ca="1"/>
        <v>7571615.6159548704</v>
      </c>
    </row>
    <row r="60" spans="1:21" x14ac:dyDescent="0.25">
      <c r="A60">
        <f ca="1"/>
        <v>59</v>
      </c>
      <c r="B60" t="str">
        <f ca="1"/>
        <v>CN</v>
      </c>
      <c r="C60" t="str">
        <f ca="1"/>
        <v>Z</v>
      </c>
      <c r="D60" t="str">
        <f ca="1"/>
        <v>R-14_U</v>
      </c>
      <c r="E60">
        <f ca="1"/>
        <v>0</v>
      </c>
      <c r="F60">
        <f ca="1"/>
        <v>0</v>
      </c>
      <c r="G60">
        <f ca="1"/>
        <v>0</v>
      </c>
      <c r="H60">
        <f ca="1"/>
        <v>0</v>
      </c>
      <c r="I60">
        <f ca="1"/>
        <v>0</v>
      </c>
      <c r="J60">
        <f ca="1"/>
        <v>30</v>
      </c>
      <c r="K60">
        <f ca="1"/>
        <v>0</v>
      </c>
      <c r="L60">
        <f ca="1"/>
        <v>692208.38501628197</v>
      </c>
      <c r="M60">
        <f ca="1"/>
        <v>7571615.6159548704</v>
      </c>
      <c r="N60" t="str">
        <f ca="1"/>
        <v>R-14</v>
      </c>
      <c r="O60" t="str">
        <f ca="1"/>
        <v>R-14</v>
      </c>
      <c r="P60">
        <f ca="1"/>
        <v>0</v>
      </c>
      <c r="Q60">
        <f ca="1"/>
        <v>4.1642579093552623E-2</v>
      </c>
      <c r="R60" s="2">
        <f ca="1"/>
        <v>6.7480000000000002</v>
      </c>
      <c r="S60">
        <f ca="1"/>
        <v>0.64000000000000012</v>
      </c>
      <c r="T60">
        <f ca="1"/>
        <v>692208.38501628197</v>
      </c>
      <c r="U60">
        <f ca="1"/>
        <v>7571615.6159548704</v>
      </c>
    </row>
    <row r="61" spans="1:21" x14ac:dyDescent="0.25">
      <c r="A61">
        <f ca="1"/>
        <v>60</v>
      </c>
      <c r="B61" t="str">
        <f ca="1"/>
        <v>CN</v>
      </c>
      <c r="C61" t="str">
        <f ca="1"/>
        <v>Z</v>
      </c>
      <c r="D61" t="str">
        <f ca="1"/>
        <v>R-14_U</v>
      </c>
      <c r="E61">
        <f ca="1"/>
        <v>0</v>
      </c>
      <c r="F61">
        <f ca="1"/>
        <v>0</v>
      </c>
      <c r="G61">
        <f ca="1"/>
        <v>0</v>
      </c>
      <c r="H61">
        <f ca="1"/>
        <v>0</v>
      </c>
      <c r="I61">
        <f ca="1"/>
        <v>0</v>
      </c>
      <c r="J61">
        <f ca="1"/>
        <v>30</v>
      </c>
      <c r="K61">
        <f ca="1"/>
        <v>1</v>
      </c>
      <c r="L61">
        <f ca="1"/>
        <v>692208.88399999088</v>
      </c>
      <c r="M61">
        <f ca="1"/>
        <v>7571619.013673408</v>
      </c>
      <c r="N61" t="str">
        <f ca="1"/>
        <v>R-14</v>
      </c>
      <c r="O61" t="str">
        <f ca="1"/>
        <v>R-14</v>
      </c>
      <c r="P61">
        <f ca="1"/>
        <v>0</v>
      </c>
      <c r="Q61">
        <f ca="1"/>
        <v>4.1642579093552623E-2</v>
      </c>
      <c r="R61" s="2">
        <f ca="1"/>
        <v>6.7480000000000002</v>
      </c>
      <c r="S61">
        <f ca="1"/>
        <v>0.64000000000000012</v>
      </c>
      <c r="T61">
        <f ca="1"/>
        <v>692208.38501628197</v>
      </c>
      <c r="U61">
        <f ca="1"/>
        <v>7571615.6159548704</v>
      </c>
    </row>
    <row r="62" spans="1:21" x14ac:dyDescent="0.25">
      <c r="A62">
        <f ca="1"/>
        <v>61</v>
      </c>
      <c r="B62" t="str">
        <f ca="1"/>
        <v>SX</v>
      </c>
      <c r="C62" t="str">
        <f ca="1"/>
        <v>Z</v>
      </c>
      <c r="D62" t="str">
        <f ca="1"/>
        <v>R-14_D</v>
      </c>
      <c r="E62">
        <f ca="1"/>
        <v>0</v>
      </c>
      <c r="F62">
        <f ca="1"/>
        <v>0</v>
      </c>
      <c r="G62">
        <f ca="1"/>
        <v>0</v>
      </c>
      <c r="H62">
        <f ca="1"/>
        <v>0</v>
      </c>
      <c r="I62">
        <f ca="1"/>
        <v>0</v>
      </c>
      <c r="J62">
        <f ca="1"/>
        <v>31</v>
      </c>
      <c r="K62">
        <f ca="1"/>
        <v>0</v>
      </c>
      <c r="L62">
        <f ca="1"/>
        <v>692158.5662626744</v>
      </c>
      <c r="M62">
        <f ca="1"/>
        <v>7571616.91710102</v>
      </c>
      <c r="N62" t="str">
        <f ca="1"/>
        <v>R-14</v>
      </c>
      <c r="O62" t="str">
        <f ca="1"/>
        <v>R-14</v>
      </c>
      <c r="P62">
        <f ca="1"/>
        <v>1</v>
      </c>
      <c r="Q62">
        <f ca="1"/>
        <v>-3.0999500744962405</v>
      </c>
      <c r="R62" s="2">
        <f ca="1"/>
        <v>6.7480000000000002</v>
      </c>
      <c r="S62">
        <f ca="1"/>
        <v>0.64000000000000012</v>
      </c>
      <c r="T62">
        <f ca="1"/>
        <v>692159.34616929898</v>
      </c>
      <c r="U62">
        <f ca="1"/>
        <v>7571613.5726695796</v>
      </c>
    </row>
    <row r="63" spans="1:21" x14ac:dyDescent="0.25">
      <c r="A63">
        <f ca="1"/>
        <v>62</v>
      </c>
      <c r="B63" t="str">
        <f ca="1"/>
        <v>SX</v>
      </c>
      <c r="C63" t="str">
        <f ca="1"/>
        <v>Z</v>
      </c>
      <c r="D63" t="str">
        <f ca="1"/>
        <v>R-14_D</v>
      </c>
      <c r="E63">
        <f ca="1"/>
        <v>0</v>
      </c>
      <c r="F63">
        <f ca="1"/>
        <v>0</v>
      </c>
      <c r="G63">
        <f ca="1"/>
        <v>0</v>
      </c>
      <c r="H63">
        <f ca="1"/>
        <v>0</v>
      </c>
      <c r="I63">
        <f ca="1"/>
        <v>0</v>
      </c>
      <c r="J63">
        <f ca="1"/>
        <v>31</v>
      </c>
      <c r="K63">
        <f ca="1"/>
        <v>1</v>
      </c>
      <c r="L63">
        <f ca="1"/>
        <v>692158.84718559007</v>
      </c>
      <c r="M63">
        <f ca="1"/>
        <v>7571610.174951042</v>
      </c>
      <c r="N63" t="str">
        <f ca="1"/>
        <v>R-14</v>
      </c>
      <c r="O63" t="str">
        <f ca="1"/>
        <v>R-14</v>
      </c>
      <c r="P63">
        <f ca="1"/>
        <v>1</v>
      </c>
      <c r="Q63">
        <f ca="1"/>
        <v>-3.0999500744962405</v>
      </c>
      <c r="R63" s="2">
        <f ca="1"/>
        <v>6.7480000000000002</v>
      </c>
      <c r="S63">
        <f ca="1"/>
        <v>0.64000000000000012</v>
      </c>
      <c r="T63">
        <f ca="1"/>
        <v>692159.34616929898</v>
      </c>
      <c r="U63">
        <f ca="1"/>
        <v>7571613.5726695796</v>
      </c>
    </row>
    <row r="64" spans="1:21" x14ac:dyDescent="0.25">
      <c r="A64">
        <f ca="1"/>
        <v>63</v>
      </c>
      <c r="B64" t="str">
        <f ca="1"/>
        <v>CN</v>
      </c>
      <c r="C64" t="str">
        <f ca="1"/>
        <v>Z</v>
      </c>
      <c r="D64" t="str">
        <f ca="1"/>
        <v>R-14_D</v>
      </c>
      <c r="E64">
        <f ca="1"/>
        <v>0</v>
      </c>
      <c r="F64">
        <f ca="1"/>
        <v>0</v>
      </c>
      <c r="G64">
        <f ca="1"/>
        <v>0</v>
      </c>
      <c r="H64">
        <f ca="1"/>
        <v>0</v>
      </c>
      <c r="I64">
        <f ca="1"/>
        <v>0</v>
      </c>
      <c r="J64">
        <f ca="1"/>
        <v>32</v>
      </c>
      <c r="K64">
        <f ca="1"/>
        <v>0</v>
      </c>
      <c r="L64">
        <f ca="1"/>
        <v>692159.34616929898</v>
      </c>
      <c r="M64">
        <f ca="1"/>
        <v>7571613.5726695796</v>
      </c>
      <c r="N64" t="str">
        <f ca="1"/>
        <v>R-14</v>
      </c>
      <c r="O64" t="str">
        <f ca="1"/>
        <v>R-14</v>
      </c>
      <c r="P64">
        <f ca="1"/>
        <v>1</v>
      </c>
      <c r="Q64">
        <f ca="1"/>
        <v>-3.0999500744962405</v>
      </c>
      <c r="R64" s="2">
        <f ca="1"/>
        <v>6.7480000000000002</v>
      </c>
      <c r="S64">
        <f ca="1"/>
        <v>0.64000000000000012</v>
      </c>
      <c r="T64">
        <f ca="1"/>
        <v>692159.34616929898</v>
      </c>
      <c r="U64">
        <f ca="1"/>
        <v>7571613.5726695796</v>
      </c>
    </row>
    <row r="65" spans="1:21" x14ac:dyDescent="0.25">
      <c r="A65">
        <f ca="1"/>
        <v>64</v>
      </c>
      <c r="B65" t="str">
        <f ca="1"/>
        <v>CN</v>
      </c>
      <c r="C65" t="str">
        <f ca="1"/>
        <v>Z</v>
      </c>
      <c r="D65" t="str">
        <f ca="1"/>
        <v>R-14_D</v>
      </c>
      <c r="E65">
        <f ca="1"/>
        <v>0</v>
      </c>
      <c r="F65">
        <f ca="1"/>
        <v>0</v>
      </c>
      <c r="G65">
        <f ca="1"/>
        <v>0</v>
      </c>
      <c r="H65">
        <f ca="1"/>
        <v>0</v>
      </c>
      <c r="I65">
        <f ca="1"/>
        <v>0</v>
      </c>
      <c r="J65">
        <f ca="1"/>
        <v>32</v>
      </c>
      <c r="K65">
        <f ca="1"/>
        <v>1</v>
      </c>
      <c r="L65">
        <f ca="1"/>
        <v>692158.84718559007</v>
      </c>
      <c r="M65">
        <f ca="1"/>
        <v>7571610.174951042</v>
      </c>
      <c r="N65" t="str">
        <f ca="1"/>
        <v>R-14</v>
      </c>
      <c r="O65" t="str">
        <f ca="1"/>
        <v>R-14</v>
      </c>
      <c r="P65">
        <f ca="1"/>
        <v>1</v>
      </c>
      <c r="Q65">
        <f ca="1"/>
        <v>-3.0999500744962405</v>
      </c>
      <c r="R65" s="2">
        <f ca="1"/>
        <v>6.7480000000000002</v>
      </c>
      <c r="S65">
        <f ca="1"/>
        <v>0.64000000000000012</v>
      </c>
      <c r="T65">
        <f ca="1"/>
        <v>692159.34616929898</v>
      </c>
      <c r="U65">
        <f ca="1"/>
        <v>7571613.5726695796</v>
      </c>
    </row>
    <row r="66" spans="1:21" x14ac:dyDescent="0.25">
      <c r="A66">
        <f ca="1"/>
        <v>65</v>
      </c>
      <c r="B66" t="str">
        <f ca="1"/>
        <v>SX</v>
      </c>
      <c r="C66" t="str">
        <f ca="1"/>
        <v>Z</v>
      </c>
      <c r="D66" t="str">
        <f ca="1"/>
        <v>R-14b_U</v>
      </c>
      <c r="E66">
        <f ca="1"/>
        <v>0</v>
      </c>
      <c r="F66">
        <f ca="1"/>
        <v>0</v>
      </c>
      <c r="G66">
        <f ca="1"/>
        <v>0</v>
      </c>
      <c r="H66">
        <f ca="1"/>
        <v>0</v>
      </c>
      <c r="I66">
        <f ca="1"/>
        <v>0</v>
      </c>
      <c r="J66">
        <f ca="1"/>
        <v>33</v>
      </c>
      <c r="K66">
        <f ca="1"/>
        <v>0</v>
      </c>
      <c r="L66">
        <f ca="1"/>
        <v>692189.57045385428</v>
      </c>
      <c r="M66">
        <f ca="1"/>
        <v>7571442.5583793204</v>
      </c>
      <c r="N66" t="str">
        <f ca="1"/>
        <v>R-14b</v>
      </c>
      <c r="O66" t="str">
        <f ca="1"/>
        <v>R-14b</v>
      </c>
      <c r="P66">
        <f ca="1"/>
        <v>0</v>
      </c>
      <c r="Q66">
        <f ca="1"/>
        <v>-0.57191819984799608</v>
      </c>
      <c r="R66" s="2">
        <f ca="1"/>
        <v>1.708</v>
      </c>
      <c r="S66">
        <f ca="1"/>
        <v>0.64000000000000012</v>
      </c>
      <c r="T66">
        <f ca="1"/>
        <v>692189.49452477403</v>
      </c>
      <c r="U66">
        <f ca="1"/>
        <v>7571443.62287487</v>
      </c>
    </row>
    <row r="67" spans="1:21" x14ac:dyDescent="0.25">
      <c r="A67">
        <f ca="1"/>
        <v>66</v>
      </c>
      <c r="B67" t="str">
        <f ca="1"/>
        <v>SX</v>
      </c>
      <c r="C67" t="str">
        <f ca="1"/>
        <v>Z</v>
      </c>
      <c r="D67" t="str">
        <f ca="1"/>
        <v>R-14b_U</v>
      </c>
      <c r="E67">
        <f ca="1"/>
        <v>0</v>
      </c>
      <c r="F67">
        <f ca="1"/>
        <v>0</v>
      </c>
      <c r="G67">
        <f ca="1"/>
        <v>0</v>
      </c>
      <c r="H67">
        <f ca="1"/>
        <v>0</v>
      </c>
      <c r="I67">
        <f ca="1"/>
        <v>0</v>
      </c>
      <c r="J67">
        <f ca="1"/>
        <v>33</v>
      </c>
      <c r="K67">
        <f ca="1"/>
        <v>1</v>
      </c>
      <c r="L67">
        <f ca="1"/>
        <v>692190.49490200391</v>
      </c>
      <c r="M67">
        <f ca="1"/>
        <v>7571443.9945755536</v>
      </c>
      <c r="N67" t="str">
        <f ca="1"/>
        <v>R-14b</v>
      </c>
      <c r="O67" t="str">
        <f ca="1"/>
        <v>R-14b</v>
      </c>
      <c r="P67">
        <f ca="1"/>
        <v>0</v>
      </c>
      <c r="Q67">
        <f ca="1"/>
        <v>-0.57191819984799608</v>
      </c>
      <c r="R67" s="2">
        <f ca="1"/>
        <v>1.708</v>
      </c>
      <c r="S67">
        <f ca="1"/>
        <v>0.64000000000000012</v>
      </c>
      <c r="T67">
        <f ca="1"/>
        <v>692189.49452477403</v>
      </c>
      <c r="U67">
        <f ca="1"/>
        <v>7571443.62287487</v>
      </c>
    </row>
    <row r="68" spans="1:21" x14ac:dyDescent="0.25">
      <c r="A68">
        <f ca="1"/>
        <v>67</v>
      </c>
      <c r="B68" t="str">
        <f ca="1"/>
        <v>CN</v>
      </c>
      <c r="C68" t="str">
        <f ca="1"/>
        <v>Z</v>
      </c>
      <c r="D68" t="str">
        <f ca="1"/>
        <v>R-14b_U</v>
      </c>
      <c r="E68">
        <f ca="1"/>
        <v>0</v>
      </c>
      <c r="F68">
        <f ca="1"/>
        <v>0</v>
      </c>
      <c r="G68">
        <f ca="1"/>
        <v>0</v>
      </c>
      <c r="H68">
        <f ca="1"/>
        <v>0</v>
      </c>
      <c r="I68">
        <f ca="1"/>
        <v>0</v>
      </c>
      <c r="J68">
        <f ca="1"/>
        <v>34</v>
      </c>
      <c r="K68">
        <f ca="1"/>
        <v>0</v>
      </c>
      <c r="L68">
        <f ca="1"/>
        <v>692189.49452477403</v>
      </c>
      <c r="M68">
        <f ca="1"/>
        <v>7571443.62287487</v>
      </c>
      <c r="N68" t="str">
        <f ca="1"/>
        <v>R-14b</v>
      </c>
      <c r="O68" t="str">
        <f ca="1"/>
        <v>R-14b</v>
      </c>
      <c r="P68">
        <f ca="1"/>
        <v>0</v>
      </c>
      <c r="Q68">
        <f ca="1"/>
        <v>-0.57191819984799608</v>
      </c>
      <c r="R68" s="2">
        <f ca="1"/>
        <v>1.708</v>
      </c>
      <c r="S68">
        <f ca="1"/>
        <v>0.64000000000000012</v>
      </c>
      <c r="T68">
        <f ca="1"/>
        <v>692189.49452477403</v>
      </c>
      <c r="U68">
        <f ca="1"/>
        <v>7571443.62287487</v>
      </c>
    </row>
    <row r="69" spans="1:21" x14ac:dyDescent="0.25">
      <c r="A69">
        <f ca="1"/>
        <v>68</v>
      </c>
      <c r="B69" t="str">
        <f ca="1"/>
        <v>CN</v>
      </c>
      <c r="C69" t="str">
        <f ca="1"/>
        <v>Z</v>
      </c>
      <c r="D69" t="str">
        <f ca="1"/>
        <v>R-14b_U</v>
      </c>
      <c r="E69">
        <f ca="1"/>
        <v>0</v>
      </c>
      <c r="F69">
        <f ca="1"/>
        <v>0</v>
      </c>
      <c r="G69">
        <f ca="1"/>
        <v>0</v>
      </c>
      <c r="H69">
        <f ca="1"/>
        <v>0</v>
      </c>
      <c r="I69">
        <f ca="1"/>
        <v>0</v>
      </c>
      <c r="J69">
        <f ca="1"/>
        <v>34</v>
      </c>
      <c r="K69">
        <f ca="1"/>
        <v>1</v>
      </c>
      <c r="L69">
        <f ca="1"/>
        <v>692190.49490200391</v>
      </c>
      <c r="M69">
        <f ca="1"/>
        <v>7571443.9945755536</v>
      </c>
      <c r="N69" t="str">
        <f ca="1"/>
        <v>R-14b</v>
      </c>
      <c r="O69" t="str">
        <f ca="1"/>
        <v>R-14b</v>
      </c>
      <c r="P69">
        <f ca="1"/>
        <v>0</v>
      </c>
      <c r="Q69">
        <f ca="1"/>
        <v>-0.57191819984799608</v>
      </c>
      <c r="R69" s="2">
        <f ca="1"/>
        <v>1.708</v>
      </c>
      <c r="S69">
        <f ca="1"/>
        <v>0.64000000000000012</v>
      </c>
      <c r="T69">
        <f ca="1"/>
        <v>692189.49452477403</v>
      </c>
      <c r="U69">
        <f ca="1"/>
        <v>7571443.62287487</v>
      </c>
    </row>
    <row r="70" spans="1:21" x14ac:dyDescent="0.25">
      <c r="A70">
        <f ca="1"/>
        <v>69</v>
      </c>
      <c r="B70" t="str">
        <f ca="1"/>
        <v>SX</v>
      </c>
      <c r="C70" t="str">
        <f ca="1"/>
        <v>Z</v>
      </c>
      <c r="D70" t="str">
        <f ca="1"/>
        <v>R-14b_D</v>
      </c>
      <c r="E70">
        <f ca="1"/>
        <v>0</v>
      </c>
      <c r="F70">
        <f ca="1"/>
        <v>0</v>
      </c>
      <c r="G70">
        <f ca="1"/>
        <v>0</v>
      </c>
      <c r="H70">
        <f ca="1"/>
        <v>0</v>
      </c>
      <c r="I70">
        <f ca="1"/>
        <v>0</v>
      </c>
      <c r="J70">
        <f ca="1"/>
        <v>35</v>
      </c>
      <c r="K70">
        <f ca="1"/>
        <v>0</v>
      </c>
      <c r="L70">
        <f ca="1"/>
        <v>692159.17991019471</v>
      </c>
      <c r="M70">
        <f ca="1"/>
        <v>7571464.1513518896</v>
      </c>
      <c r="N70" t="str">
        <f ca="1"/>
        <v>R-14b</v>
      </c>
      <c r="O70" t="str">
        <f ca="1"/>
        <v>R-14b</v>
      </c>
      <c r="P70">
        <f ca="1"/>
        <v>1</v>
      </c>
      <c r="Q70">
        <f ca="1"/>
        <v>2.569674453741797</v>
      </c>
      <c r="R70" s="2">
        <f ca="1"/>
        <v>1.708</v>
      </c>
      <c r="S70">
        <f ca="1"/>
        <v>0.64000000000000012</v>
      </c>
      <c r="T70">
        <f ca="1"/>
        <v>692159.25583927496</v>
      </c>
      <c r="U70">
        <f ca="1"/>
        <v>7571463.0868563401</v>
      </c>
    </row>
    <row r="71" spans="1:21" x14ac:dyDescent="0.25">
      <c r="A71">
        <f ca="1"/>
        <v>70</v>
      </c>
      <c r="B71" t="str">
        <f ca="1"/>
        <v>SX</v>
      </c>
      <c r="C71" t="str">
        <f ca="1"/>
        <v>Z</v>
      </c>
      <c r="D71" t="str">
        <f ca="1"/>
        <v>R-14b_D</v>
      </c>
      <c r="E71">
        <f ca="1"/>
        <v>0</v>
      </c>
      <c r="F71">
        <f ca="1"/>
        <v>0</v>
      </c>
      <c r="G71">
        <f ca="1"/>
        <v>0</v>
      </c>
      <c r="H71">
        <f ca="1"/>
        <v>0</v>
      </c>
      <c r="I71">
        <f ca="1"/>
        <v>0</v>
      </c>
      <c r="J71">
        <f ca="1"/>
        <v>35</v>
      </c>
      <c r="K71">
        <f ca="1"/>
        <v>1</v>
      </c>
      <c r="L71">
        <f ca="1"/>
        <v>692158.25546204508</v>
      </c>
      <c r="M71">
        <f ca="1"/>
        <v>7571462.7151556564</v>
      </c>
      <c r="N71" t="str">
        <f ca="1"/>
        <v>R-14b</v>
      </c>
      <c r="O71" t="str">
        <f ca="1"/>
        <v>R-14b</v>
      </c>
      <c r="P71">
        <f ca="1"/>
        <v>1</v>
      </c>
      <c r="Q71">
        <f ca="1"/>
        <v>2.569674453741797</v>
      </c>
      <c r="R71" s="2">
        <f ca="1"/>
        <v>1.708</v>
      </c>
      <c r="S71">
        <f ca="1"/>
        <v>0.64000000000000012</v>
      </c>
      <c r="T71">
        <f ca="1"/>
        <v>692159.25583927496</v>
      </c>
      <c r="U71">
        <f ca="1"/>
        <v>7571463.0868563401</v>
      </c>
    </row>
    <row r="72" spans="1:21" x14ac:dyDescent="0.25">
      <c r="A72">
        <f ca="1"/>
        <v>71</v>
      </c>
      <c r="B72" t="str">
        <f ca="1"/>
        <v>CN</v>
      </c>
      <c r="C72" t="str">
        <f ca="1"/>
        <v>Z</v>
      </c>
      <c r="D72" t="str">
        <f ca="1"/>
        <v>R-14b_D</v>
      </c>
      <c r="E72">
        <f ca="1"/>
        <v>0</v>
      </c>
      <c r="F72">
        <f ca="1"/>
        <v>0</v>
      </c>
      <c r="G72">
        <f ca="1"/>
        <v>0</v>
      </c>
      <c r="H72">
        <f ca="1"/>
        <v>0</v>
      </c>
      <c r="I72">
        <f ca="1"/>
        <v>0</v>
      </c>
      <c r="J72">
        <f ca="1"/>
        <v>36</v>
      </c>
      <c r="K72">
        <f ca="1"/>
        <v>0</v>
      </c>
      <c r="L72">
        <f ca="1"/>
        <v>692159.25583927496</v>
      </c>
      <c r="M72">
        <f ca="1"/>
        <v>7571463.0868563401</v>
      </c>
      <c r="N72" t="str">
        <f ca="1"/>
        <v>R-14b</v>
      </c>
      <c r="O72" t="str">
        <f ca="1"/>
        <v>R-14b</v>
      </c>
      <c r="P72">
        <f ca="1"/>
        <v>1</v>
      </c>
      <c r="Q72">
        <f ca="1"/>
        <v>2.569674453741797</v>
      </c>
      <c r="R72" s="2">
        <f ca="1"/>
        <v>1.708</v>
      </c>
      <c r="S72">
        <f ca="1"/>
        <v>0.64000000000000012</v>
      </c>
      <c r="T72">
        <f ca="1"/>
        <v>692159.25583927496</v>
      </c>
      <c r="U72">
        <f ca="1"/>
        <v>7571463.0868563401</v>
      </c>
    </row>
    <row r="73" spans="1:21" x14ac:dyDescent="0.25">
      <c r="A73">
        <f ca="1"/>
        <v>72</v>
      </c>
      <c r="B73" t="str">
        <f ca="1"/>
        <v>CN</v>
      </c>
      <c r="C73" t="str">
        <f ca="1"/>
        <v>Z</v>
      </c>
      <c r="D73" t="str">
        <f ca="1"/>
        <v>R-14b_D</v>
      </c>
      <c r="E73">
        <f ca="1"/>
        <v>0</v>
      </c>
      <c r="F73">
        <f ca="1"/>
        <v>0</v>
      </c>
      <c r="G73">
        <f ca="1"/>
        <v>0</v>
      </c>
      <c r="H73">
        <f ca="1"/>
        <v>0</v>
      </c>
      <c r="I73">
        <f ca="1"/>
        <v>0</v>
      </c>
      <c r="J73">
        <f ca="1"/>
        <v>36</v>
      </c>
      <c r="K73">
        <f ca="1"/>
        <v>1</v>
      </c>
      <c r="L73">
        <f ca="1"/>
        <v>692158.25546204508</v>
      </c>
      <c r="M73">
        <f ca="1"/>
        <v>7571462.7151556564</v>
      </c>
      <c r="N73" t="str">
        <f ca="1"/>
        <v>R-14b</v>
      </c>
      <c r="O73" t="str">
        <f ca="1"/>
        <v>R-14b</v>
      </c>
      <c r="P73">
        <f ca="1"/>
        <v>1</v>
      </c>
      <c r="Q73">
        <f ca="1"/>
        <v>2.569674453741797</v>
      </c>
      <c r="R73" s="2">
        <f ca="1"/>
        <v>1.708</v>
      </c>
      <c r="S73">
        <f ca="1"/>
        <v>0.64000000000000012</v>
      </c>
      <c r="T73">
        <f ca="1"/>
        <v>692159.25583927496</v>
      </c>
      <c r="U73">
        <f ca="1"/>
        <v>7571463.0868563401</v>
      </c>
    </row>
    <row r="74" spans="1:21" x14ac:dyDescent="0.25">
      <c r="A74">
        <f ca="1"/>
        <v>73</v>
      </c>
      <c r="B74" t="str">
        <f ca="1"/>
        <v>SX</v>
      </c>
      <c r="C74" t="str">
        <f ca="1"/>
        <v>Z</v>
      </c>
      <c r="D74" t="str">
        <f ca="1"/>
        <v>R-15_U</v>
      </c>
      <c r="E74">
        <f ca="1"/>
        <v>0</v>
      </c>
      <c r="F74">
        <f ca="1"/>
        <v>0</v>
      </c>
      <c r="G74">
        <f ca="1"/>
        <v>0</v>
      </c>
      <c r="H74">
        <f ca="1"/>
        <v>0</v>
      </c>
      <c r="I74">
        <f ca="1"/>
        <v>0</v>
      </c>
      <c r="J74">
        <f ca="1"/>
        <v>37</v>
      </c>
      <c r="K74">
        <f ca="1"/>
        <v>0</v>
      </c>
      <c r="L74">
        <f ca="1"/>
        <v>692207.40170906659</v>
      </c>
      <c r="M74">
        <f ca="1"/>
        <v>7571760.9500850989</v>
      </c>
      <c r="N74" t="str">
        <f ca="1"/>
        <v>R-15</v>
      </c>
      <c r="O74" t="str">
        <f ca="1"/>
        <v>R-15</v>
      </c>
      <c r="P74">
        <f ca="1"/>
        <v>0</v>
      </c>
      <c r="Q74">
        <f ca="1"/>
        <v>-0.3587706701741542</v>
      </c>
      <c r="R74" s="2">
        <f ca="1"/>
        <v>3.7239999999999998</v>
      </c>
      <c r="S74">
        <f ca="1"/>
        <v>0.64000000000000012</v>
      </c>
      <c r="T74">
        <f ca="1"/>
        <v>692207.45625024103</v>
      </c>
      <c r="U74">
        <f ca="1"/>
        <v>7571762.9182490297</v>
      </c>
    </row>
    <row r="75" spans="1:21" x14ac:dyDescent="0.25">
      <c r="A75">
        <f ca="1"/>
        <v>74</v>
      </c>
      <c r="B75" t="str">
        <f ca="1"/>
        <v>SX</v>
      </c>
      <c r="C75" t="str">
        <f ca="1"/>
        <v>Z</v>
      </c>
      <c r="D75" t="str">
        <f ca="1"/>
        <v>R-15_U</v>
      </c>
      <c r="E75">
        <f ca="1"/>
        <v>0</v>
      </c>
      <c r="F75">
        <f ca="1"/>
        <v>0</v>
      </c>
      <c r="G75">
        <f ca="1"/>
        <v>0</v>
      </c>
      <c r="H75">
        <f ca="1"/>
        <v>0</v>
      </c>
      <c r="I75">
        <f ca="1"/>
        <v>0</v>
      </c>
      <c r="J75">
        <f ca="1"/>
        <v>37</v>
      </c>
      <c r="K75">
        <f ca="1"/>
        <v>1</v>
      </c>
      <c r="L75">
        <f ca="1"/>
        <v>692208.7092927628</v>
      </c>
      <c r="M75">
        <f ca="1"/>
        <v>7571764.4369749557</v>
      </c>
      <c r="N75" t="str">
        <f ca="1"/>
        <v>R-15</v>
      </c>
      <c r="O75" t="str">
        <f ca="1"/>
        <v>R-15</v>
      </c>
      <c r="P75">
        <f ca="1"/>
        <v>0</v>
      </c>
      <c r="Q75">
        <f ca="1"/>
        <v>-0.3587706701741542</v>
      </c>
      <c r="R75" s="2">
        <f ca="1"/>
        <v>3.7239999999999998</v>
      </c>
      <c r="S75">
        <f ca="1"/>
        <v>0.64000000000000012</v>
      </c>
      <c r="T75">
        <f ca="1"/>
        <v>692207.45625024103</v>
      </c>
      <c r="U75">
        <f ca="1"/>
        <v>7571762.9182490297</v>
      </c>
    </row>
    <row r="76" spans="1:21" x14ac:dyDescent="0.25">
      <c r="A76">
        <f ca="1"/>
        <v>75</v>
      </c>
      <c r="B76" t="str">
        <f ca="1"/>
        <v>CN</v>
      </c>
      <c r="C76" t="str">
        <f ca="1"/>
        <v>Z</v>
      </c>
      <c r="D76" t="str">
        <f ca="1"/>
        <v>R-15_U</v>
      </c>
      <c r="E76">
        <f ca="1"/>
        <v>0</v>
      </c>
      <c r="F76">
        <f ca="1"/>
        <v>0</v>
      </c>
      <c r="G76">
        <f ca="1"/>
        <v>0</v>
      </c>
      <c r="H76">
        <f ca="1"/>
        <v>0</v>
      </c>
      <c r="I76">
        <f ca="1"/>
        <v>0</v>
      </c>
      <c r="J76">
        <f ca="1"/>
        <v>38</v>
      </c>
      <c r="K76">
        <f ca="1"/>
        <v>0</v>
      </c>
      <c r="L76">
        <f ca="1"/>
        <v>692207.45625024103</v>
      </c>
      <c r="M76">
        <f ca="1"/>
        <v>7571762.9182490297</v>
      </c>
      <c r="N76" t="str">
        <f ca="1"/>
        <v>R-15</v>
      </c>
      <c r="O76" t="str">
        <f ca="1"/>
        <v>R-15</v>
      </c>
      <c r="P76">
        <f ca="1"/>
        <v>0</v>
      </c>
      <c r="Q76">
        <f ca="1"/>
        <v>-0.3587706701741542</v>
      </c>
      <c r="R76" s="2">
        <f ca="1"/>
        <v>3.7239999999999998</v>
      </c>
      <c r="S76">
        <f ca="1"/>
        <v>0.64000000000000012</v>
      </c>
      <c r="T76">
        <f ca="1"/>
        <v>692207.45625024103</v>
      </c>
      <c r="U76">
        <f ca="1"/>
        <v>7571762.9182490297</v>
      </c>
    </row>
    <row r="77" spans="1:21" x14ac:dyDescent="0.25">
      <c r="A77">
        <f ca="1"/>
        <v>76</v>
      </c>
      <c r="B77" t="str">
        <f ca="1"/>
        <v>CN</v>
      </c>
      <c r="C77" t="str">
        <f ca="1"/>
        <v>Z</v>
      </c>
      <c r="D77" t="str">
        <f ca="1"/>
        <v>R-15_U</v>
      </c>
      <c r="E77">
        <f ca="1"/>
        <v>0</v>
      </c>
      <c r="F77">
        <f ca="1"/>
        <v>0</v>
      </c>
      <c r="G77">
        <f ca="1"/>
        <v>0</v>
      </c>
      <c r="H77">
        <f ca="1"/>
        <v>0</v>
      </c>
      <c r="I77">
        <f ca="1"/>
        <v>0</v>
      </c>
      <c r="J77">
        <f ca="1"/>
        <v>38</v>
      </c>
      <c r="K77">
        <f ca="1"/>
        <v>1</v>
      </c>
      <c r="L77">
        <f ca="1"/>
        <v>692208.7092927628</v>
      </c>
      <c r="M77">
        <f ca="1"/>
        <v>7571764.4369749557</v>
      </c>
      <c r="N77" t="str">
        <f ca="1"/>
        <v>R-15</v>
      </c>
      <c r="O77" t="str">
        <f ca="1"/>
        <v>R-15</v>
      </c>
      <c r="P77">
        <f ca="1"/>
        <v>0</v>
      </c>
      <c r="Q77">
        <f ca="1"/>
        <v>-0.3587706701741542</v>
      </c>
      <c r="R77" s="2">
        <f ca="1"/>
        <v>3.7239999999999998</v>
      </c>
      <c r="S77">
        <f ca="1"/>
        <v>0.64000000000000012</v>
      </c>
      <c r="T77">
        <f ca="1"/>
        <v>692207.45625024103</v>
      </c>
      <c r="U77">
        <f ca="1"/>
        <v>7571762.9182490297</v>
      </c>
    </row>
    <row r="78" spans="1:21" x14ac:dyDescent="0.25">
      <c r="A78">
        <f ca="1"/>
        <v>77</v>
      </c>
      <c r="B78" t="str">
        <f ca="1"/>
        <v>SX</v>
      </c>
      <c r="C78" t="str">
        <f ca="1"/>
        <v>Z</v>
      </c>
      <c r="D78" t="str">
        <f ca="1"/>
        <v>R-15_D</v>
      </c>
      <c r="E78">
        <f ca="1"/>
        <v>0</v>
      </c>
      <c r="F78">
        <f ca="1"/>
        <v>0</v>
      </c>
      <c r="G78">
        <f ca="1"/>
        <v>0</v>
      </c>
      <c r="H78">
        <f ca="1"/>
        <v>0</v>
      </c>
      <c r="I78">
        <f ca="1"/>
        <v>0</v>
      </c>
      <c r="J78">
        <f ca="1"/>
        <v>39</v>
      </c>
      <c r="K78">
        <f ca="1"/>
        <v>0</v>
      </c>
      <c r="L78">
        <f ca="1"/>
        <v>692168.87412409543</v>
      </c>
      <c r="M78">
        <f ca="1"/>
        <v>7571779.3751632012</v>
      </c>
      <c r="N78" t="str">
        <f ca="1"/>
        <v>R-15</v>
      </c>
      <c r="O78" t="str">
        <f ca="1"/>
        <v>R-15</v>
      </c>
      <c r="P78">
        <f ca="1"/>
        <v>1</v>
      </c>
      <c r="Q78">
        <f ca="1"/>
        <v>2.7828219834156389</v>
      </c>
      <c r="R78" s="2">
        <f ca="1"/>
        <v>3.7239999999999998</v>
      </c>
      <c r="S78">
        <f ca="1"/>
        <v>0.64000000000000012</v>
      </c>
      <c r="T78">
        <f ca="1"/>
        <v>692168.81958292099</v>
      </c>
      <c r="U78">
        <f ca="1"/>
        <v>7571777.4069992704</v>
      </c>
    </row>
    <row r="79" spans="1:21" x14ac:dyDescent="0.25">
      <c r="A79">
        <f ca="1"/>
        <v>78</v>
      </c>
      <c r="B79" t="str">
        <f ca="1"/>
        <v>SX</v>
      </c>
      <c r="C79" t="str">
        <f ca="1"/>
        <v>Z</v>
      </c>
      <c r="D79" t="str">
        <f ca="1"/>
        <v>R-15_D</v>
      </c>
      <c r="E79">
        <f ca="1"/>
        <v>0</v>
      </c>
      <c r="F79">
        <f ca="1"/>
        <v>0</v>
      </c>
      <c r="G79">
        <f ca="1"/>
        <v>0</v>
      </c>
      <c r="H79">
        <f ca="1"/>
        <v>0</v>
      </c>
      <c r="I79">
        <f ca="1"/>
        <v>0</v>
      </c>
      <c r="J79">
        <f ca="1"/>
        <v>39</v>
      </c>
      <c r="K79">
        <f ca="1"/>
        <v>1</v>
      </c>
      <c r="L79">
        <f ca="1"/>
        <v>692167.56654039922</v>
      </c>
      <c r="M79">
        <f ca="1"/>
        <v>7571775.8882733444</v>
      </c>
      <c r="N79" t="str">
        <f ca="1"/>
        <v>R-15</v>
      </c>
      <c r="O79" t="str">
        <f ca="1"/>
        <v>R-15</v>
      </c>
      <c r="P79">
        <f ca="1"/>
        <v>1</v>
      </c>
      <c r="Q79">
        <f ca="1"/>
        <v>2.7828219834156389</v>
      </c>
      <c r="R79" s="2">
        <f ca="1"/>
        <v>3.7239999999999998</v>
      </c>
      <c r="S79">
        <f ca="1"/>
        <v>0.64000000000000012</v>
      </c>
      <c r="T79">
        <f ca="1"/>
        <v>692168.81958292099</v>
      </c>
      <c r="U79">
        <f ca="1"/>
        <v>7571777.4069992704</v>
      </c>
    </row>
    <row r="80" spans="1:21" x14ac:dyDescent="0.25">
      <c r="A80">
        <f ca="1"/>
        <v>79</v>
      </c>
      <c r="B80" t="str">
        <f ca="1"/>
        <v>CN</v>
      </c>
      <c r="C80" t="str">
        <f ca="1"/>
        <v>Z</v>
      </c>
      <c r="D80" t="str">
        <f ca="1"/>
        <v>R-15_D</v>
      </c>
      <c r="E80">
        <f ca="1"/>
        <v>0</v>
      </c>
      <c r="F80">
        <f ca="1"/>
        <v>0</v>
      </c>
      <c r="G80">
        <f ca="1"/>
        <v>0</v>
      </c>
      <c r="H80">
        <f ca="1"/>
        <v>0</v>
      </c>
      <c r="I80">
        <f ca="1"/>
        <v>0</v>
      </c>
      <c r="J80">
        <f ca="1"/>
        <v>40</v>
      </c>
      <c r="K80">
        <f ca="1"/>
        <v>0</v>
      </c>
      <c r="L80">
        <f ca="1"/>
        <v>692168.81958292099</v>
      </c>
      <c r="M80">
        <f ca="1"/>
        <v>7571777.4069992704</v>
      </c>
      <c r="N80" t="str">
        <f ca="1"/>
        <v>R-15</v>
      </c>
      <c r="O80" t="str">
        <f ca="1"/>
        <v>R-15</v>
      </c>
      <c r="P80">
        <f ca="1"/>
        <v>1</v>
      </c>
      <c r="Q80">
        <f ca="1"/>
        <v>2.7828219834156389</v>
      </c>
      <c r="R80" s="2">
        <f ca="1"/>
        <v>3.7239999999999998</v>
      </c>
      <c r="S80">
        <f ca="1"/>
        <v>0.64000000000000012</v>
      </c>
      <c r="T80">
        <f ca="1"/>
        <v>692168.81958292099</v>
      </c>
      <c r="U80">
        <f ca="1"/>
        <v>7571777.4069992704</v>
      </c>
    </row>
    <row r="81" spans="1:21" x14ac:dyDescent="0.25">
      <c r="A81">
        <f ca="1"/>
        <v>80</v>
      </c>
      <c r="B81" t="str">
        <f ca="1"/>
        <v>CN</v>
      </c>
      <c r="C81" t="str">
        <f ca="1"/>
        <v>Z</v>
      </c>
      <c r="D81" t="str">
        <f ca="1"/>
        <v>R-15_D</v>
      </c>
      <c r="E81">
        <f ca="1"/>
        <v>0</v>
      </c>
      <c r="F81">
        <f ca="1"/>
        <v>0</v>
      </c>
      <c r="G81">
        <f ca="1"/>
        <v>0</v>
      </c>
      <c r="H81">
        <f ca="1"/>
        <v>0</v>
      </c>
      <c r="I81">
        <f ca="1"/>
        <v>0</v>
      </c>
      <c r="J81">
        <f ca="1"/>
        <v>40</v>
      </c>
      <c r="K81">
        <f ca="1"/>
        <v>1</v>
      </c>
      <c r="L81">
        <f ca="1"/>
        <v>692167.56654039922</v>
      </c>
      <c r="M81">
        <f ca="1"/>
        <v>7571775.8882733444</v>
      </c>
      <c r="N81" t="str">
        <f ca="1"/>
        <v>R-15</v>
      </c>
      <c r="O81" t="str">
        <f ca="1"/>
        <v>R-15</v>
      </c>
      <c r="P81">
        <f ca="1"/>
        <v>1</v>
      </c>
      <c r="Q81">
        <f ca="1"/>
        <v>2.7828219834156389</v>
      </c>
      <c r="R81" s="2">
        <f ca="1"/>
        <v>3.7239999999999998</v>
      </c>
      <c r="S81">
        <f ca="1"/>
        <v>0.64000000000000012</v>
      </c>
      <c r="T81">
        <f ca="1"/>
        <v>692168.81958292099</v>
      </c>
      <c r="U81">
        <f ca="1"/>
        <v>7571777.4069992704</v>
      </c>
    </row>
    <row r="82" spans="1:21" x14ac:dyDescent="0.25">
      <c r="A82">
        <f ca="1"/>
        <v>81</v>
      </c>
      <c r="B82" t="str">
        <f ca="1"/>
        <v>SX</v>
      </c>
      <c r="C82" t="str">
        <f ca="1"/>
        <v>Z</v>
      </c>
      <c r="D82" t="str">
        <f ca="1"/>
        <v>R-16_U</v>
      </c>
      <c r="E82">
        <f ca="1"/>
        <v>0</v>
      </c>
      <c r="F82">
        <f ca="1"/>
        <v>0</v>
      </c>
      <c r="G82">
        <f ca="1"/>
        <v>0</v>
      </c>
      <c r="H82">
        <f ca="1"/>
        <v>0</v>
      </c>
      <c r="I82">
        <f ca="1"/>
        <v>0</v>
      </c>
      <c r="J82">
        <f ca="1"/>
        <v>41</v>
      </c>
      <c r="K82">
        <f ca="1"/>
        <v>0</v>
      </c>
      <c r="L82">
        <f ca="1"/>
        <v>692227.35611115908</v>
      </c>
      <c r="M82">
        <f ca="1"/>
        <v>7572258.2740440844</v>
      </c>
      <c r="N82" t="str">
        <f ca="1"/>
        <v>R-16</v>
      </c>
      <c r="O82" t="str">
        <f ca="1"/>
        <v>R-16</v>
      </c>
      <c r="P82">
        <f ca="1"/>
        <v>0</v>
      </c>
      <c r="Q82">
        <f ca="1"/>
        <v>0.13636259334410772</v>
      </c>
      <c r="R82" s="2">
        <f ca="1"/>
        <v>1.9599999999999997</v>
      </c>
      <c r="S82">
        <f ca="1"/>
        <v>0.64000000000000012</v>
      </c>
      <c r="T82">
        <f ca="1"/>
        <v>692226.58883069304</v>
      </c>
      <c r="U82">
        <f ca="1"/>
        <v>7572259.1579449195</v>
      </c>
    </row>
    <row r="83" spans="1:21" x14ac:dyDescent="0.25">
      <c r="A83">
        <f ca="1"/>
        <v>82</v>
      </c>
      <c r="B83" t="str">
        <f ca="1"/>
        <v>SX</v>
      </c>
      <c r="C83" t="str">
        <f ca="1"/>
        <v>Z</v>
      </c>
      <c r="D83" t="str">
        <f ca="1"/>
        <v>R-16_U</v>
      </c>
      <c r="E83">
        <f ca="1"/>
        <v>0</v>
      </c>
      <c r="F83">
        <f ca="1"/>
        <v>0</v>
      </c>
      <c r="G83">
        <f ca="1"/>
        <v>0</v>
      </c>
      <c r="H83">
        <f ca="1"/>
        <v>0</v>
      </c>
      <c r="I83">
        <f ca="1"/>
        <v>0</v>
      </c>
      <c r="J83">
        <f ca="1"/>
        <v>41</v>
      </c>
      <c r="K83">
        <f ca="1"/>
        <v>1</v>
      </c>
      <c r="L83">
        <f ca="1"/>
        <v>692227.08966801199</v>
      </c>
      <c r="M83">
        <f ca="1"/>
        <v>7572260.2158494424</v>
      </c>
      <c r="N83" t="str">
        <f ca="1"/>
        <v>R-16</v>
      </c>
      <c r="O83" t="str">
        <f ca="1"/>
        <v>R-16</v>
      </c>
      <c r="P83">
        <f ca="1"/>
        <v>0</v>
      </c>
      <c r="Q83">
        <f ca="1"/>
        <v>0.13636259334410772</v>
      </c>
      <c r="R83" s="2">
        <f ca="1"/>
        <v>1.9599999999999997</v>
      </c>
      <c r="S83">
        <f ca="1"/>
        <v>0.64000000000000012</v>
      </c>
      <c r="T83">
        <f ca="1"/>
        <v>692226.58883069304</v>
      </c>
      <c r="U83">
        <f ca="1"/>
        <v>7572259.1579449195</v>
      </c>
    </row>
    <row r="84" spans="1:21" x14ac:dyDescent="0.25">
      <c r="A84">
        <f ca="1"/>
        <v>83</v>
      </c>
      <c r="B84" t="str">
        <f ca="1"/>
        <v>CN</v>
      </c>
      <c r="C84" t="str">
        <f ca="1"/>
        <v>Z</v>
      </c>
      <c r="D84" t="str">
        <f ca="1"/>
        <v>R-16_U</v>
      </c>
      <c r="E84">
        <f ca="1"/>
        <v>0</v>
      </c>
      <c r="F84">
        <f ca="1"/>
        <v>0</v>
      </c>
      <c r="G84">
        <f ca="1"/>
        <v>0</v>
      </c>
      <c r="H84">
        <f ca="1"/>
        <v>0</v>
      </c>
      <c r="I84">
        <f ca="1"/>
        <v>0</v>
      </c>
      <c r="J84">
        <f ca="1"/>
        <v>42</v>
      </c>
      <c r="K84">
        <f ca="1"/>
        <v>0</v>
      </c>
      <c r="L84">
        <f ca="1"/>
        <v>692226.58883069304</v>
      </c>
      <c r="M84">
        <f ca="1"/>
        <v>7572259.1579449195</v>
      </c>
      <c r="N84" t="str">
        <f ca="1"/>
        <v>R-16</v>
      </c>
      <c r="O84" t="str">
        <f ca="1"/>
        <v>R-16</v>
      </c>
      <c r="P84">
        <f ca="1"/>
        <v>0</v>
      </c>
      <c r="Q84">
        <f ca="1"/>
        <v>0.13636259334410772</v>
      </c>
      <c r="R84" s="2">
        <f ca="1"/>
        <v>1.9599999999999997</v>
      </c>
      <c r="S84">
        <f ca="1"/>
        <v>0.64000000000000012</v>
      </c>
      <c r="T84">
        <f ca="1"/>
        <v>692226.58883069304</v>
      </c>
      <c r="U84">
        <f ca="1"/>
        <v>7572259.1579449195</v>
      </c>
    </row>
    <row r="85" spans="1:21" x14ac:dyDescent="0.25">
      <c r="A85">
        <f ca="1"/>
        <v>84</v>
      </c>
      <c r="B85" t="str">
        <f ca="1"/>
        <v>CN</v>
      </c>
      <c r="C85" t="str">
        <f ca="1"/>
        <v>Z</v>
      </c>
      <c r="D85" t="str">
        <f ca="1"/>
        <v>R-16_U</v>
      </c>
      <c r="E85">
        <f ca="1"/>
        <v>0</v>
      </c>
      <c r="F85">
        <f ca="1"/>
        <v>0</v>
      </c>
      <c r="G85">
        <f ca="1"/>
        <v>0</v>
      </c>
      <c r="H85">
        <f ca="1"/>
        <v>0</v>
      </c>
      <c r="I85">
        <f ca="1"/>
        <v>0</v>
      </c>
      <c r="J85">
        <f ca="1"/>
        <v>42</v>
      </c>
      <c r="K85">
        <f ca="1"/>
        <v>1</v>
      </c>
      <c r="L85">
        <f ca="1"/>
        <v>692227.08966801199</v>
      </c>
      <c r="M85">
        <f ca="1"/>
        <v>7572260.2158494424</v>
      </c>
      <c r="N85" t="str">
        <f ca="1"/>
        <v>R-16</v>
      </c>
      <c r="O85" t="str">
        <f ca="1"/>
        <v>R-16</v>
      </c>
      <c r="P85">
        <f ca="1"/>
        <v>0</v>
      </c>
      <c r="Q85">
        <f ca="1"/>
        <v>0.13636259334410772</v>
      </c>
      <c r="R85" s="2">
        <f ca="1"/>
        <v>1.9599999999999997</v>
      </c>
      <c r="S85">
        <f ca="1"/>
        <v>0.64000000000000012</v>
      </c>
      <c r="T85">
        <f ca="1"/>
        <v>692226.58883069304</v>
      </c>
      <c r="U85">
        <f ca="1"/>
        <v>7572259.1579449195</v>
      </c>
    </row>
    <row r="86" spans="1:21" x14ac:dyDescent="0.25">
      <c r="A86">
        <f ca="1"/>
        <v>85</v>
      </c>
      <c r="B86" t="str">
        <f ca="1"/>
        <v>SX</v>
      </c>
      <c r="C86" t="str">
        <f ca="1"/>
        <v>Z</v>
      </c>
      <c r="D86" t="str">
        <f ca="1"/>
        <v>R-16_D</v>
      </c>
      <c r="E86">
        <f ca="1"/>
        <v>0</v>
      </c>
      <c r="F86">
        <f ca="1"/>
        <v>0</v>
      </c>
      <c r="G86">
        <f ca="1"/>
        <v>0</v>
      </c>
      <c r="H86">
        <f ca="1"/>
        <v>0</v>
      </c>
      <c r="I86">
        <f ca="1"/>
        <v>0</v>
      </c>
      <c r="J86">
        <f ca="1"/>
        <v>43</v>
      </c>
      <c r="K86">
        <f ca="1"/>
        <v>0</v>
      </c>
      <c r="L86">
        <f ca="1"/>
        <v>692181.14790363796</v>
      </c>
      <c r="M86">
        <f ca="1"/>
        <v>7572253.9119898751</v>
      </c>
      <c r="N86" t="str">
        <f ca="1"/>
        <v>R-16</v>
      </c>
      <c r="O86" t="str">
        <f ca="1"/>
        <v>R-16</v>
      </c>
      <c r="P86">
        <f ca="1"/>
        <v>1</v>
      </c>
      <c r="Q86">
        <f ca="1"/>
        <v>-3.0052300602456854</v>
      </c>
      <c r="R86" s="2">
        <f ca="1"/>
        <v>1.9599999999999997</v>
      </c>
      <c r="S86">
        <f ca="1"/>
        <v>0.64000000000000012</v>
      </c>
      <c r="T86">
        <f ca="1"/>
        <v>692181.915184104</v>
      </c>
      <c r="U86">
        <f ca="1"/>
        <v>7572253.02808904</v>
      </c>
    </row>
    <row r="87" spans="1:21" x14ac:dyDescent="0.25">
      <c r="A87">
        <f ca="1"/>
        <v>86</v>
      </c>
      <c r="B87" t="str">
        <f ca="1"/>
        <v>SX</v>
      </c>
      <c r="C87" t="str">
        <f ca="1"/>
        <v>Z</v>
      </c>
      <c r="D87" t="str">
        <f ca="1"/>
        <v>R-16_D</v>
      </c>
      <c r="E87">
        <f ca="1"/>
        <v>0</v>
      </c>
      <c r="F87">
        <f ca="1"/>
        <v>0</v>
      </c>
      <c r="G87">
        <f ca="1"/>
        <v>0</v>
      </c>
      <c r="H87">
        <f ca="1"/>
        <v>0</v>
      </c>
      <c r="I87">
        <f ca="1"/>
        <v>0</v>
      </c>
      <c r="J87">
        <f ca="1"/>
        <v>43</v>
      </c>
      <c r="K87">
        <f ca="1"/>
        <v>1</v>
      </c>
      <c r="L87">
        <f ca="1"/>
        <v>692181.41434678505</v>
      </c>
      <c r="M87">
        <f ca="1"/>
        <v>7572251.9701845171</v>
      </c>
      <c r="N87" t="str">
        <f ca="1"/>
        <v>R-16</v>
      </c>
      <c r="O87" t="str">
        <f ca="1"/>
        <v>R-16</v>
      </c>
      <c r="P87">
        <f ca="1"/>
        <v>1</v>
      </c>
      <c r="Q87">
        <f ca="1"/>
        <v>-3.0052300602456854</v>
      </c>
      <c r="R87" s="2">
        <f ca="1"/>
        <v>1.9599999999999997</v>
      </c>
      <c r="S87">
        <f ca="1"/>
        <v>0.64000000000000012</v>
      </c>
      <c r="T87">
        <f ca="1"/>
        <v>692181.915184104</v>
      </c>
      <c r="U87">
        <f ca="1"/>
        <v>7572253.02808904</v>
      </c>
    </row>
    <row r="88" spans="1:21" x14ac:dyDescent="0.25">
      <c r="A88">
        <f ca="1"/>
        <v>87</v>
      </c>
      <c r="B88" t="str">
        <f ca="1"/>
        <v>CN</v>
      </c>
      <c r="C88" t="str">
        <f ca="1"/>
        <v>Z</v>
      </c>
      <c r="D88" t="str">
        <f ca="1"/>
        <v>R-16_D</v>
      </c>
      <c r="E88">
        <f ca="1"/>
        <v>0</v>
      </c>
      <c r="F88">
        <f ca="1"/>
        <v>0</v>
      </c>
      <c r="G88">
        <f ca="1"/>
        <v>0</v>
      </c>
      <c r="H88">
        <f ca="1"/>
        <v>0</v>
      </c>
      <c r="I88">
        <f ca="1"/>
        <v>0</v>
      </c>
      <c r="J88">
        <f ca="1"/>
        <v>44</v>
      </c>
      <c r="K88">
        <f ca="1"/>
        <v>0</v>
      </c>
      <c r="L88">
        <f ca="1"/>
        <v>692181.915184104</v>
      </c>
      <c r="M88">
        <f ca="1"/>
        <v>7572253.02808904</v>
      </c>
      <c r="N88" t="str">
        <f ca="1"/>
        <v>R-16</v>
      </c>
      <c r="O88" t="str">
        <f ca="1"/>
        <v>R-16</v>
      </c>
      <c r="P88">
        <f ca="1"/>
        <v>1</v>
      </c>
      <c r="Q88">
        <f ca="1"/>
        <v>-3.0052300602456854</v>
      </c>
      <c r="R88" s="2">
        <f ca="1"/>
        <v>1.9599999999999997</v>
      </c>
      <c r="S88">
        <f ca="1"/>
        <v>0.64000000000000012</v>
      </c>
      <c r="T88">
        <f ca="1"/>
        <v>692181.915184104</v>
      </c>
      <c r="U88">
        <f ca="1"/>
        <v>7572253.02808904</v>
      </c>
    </row>
    <row r="89" spans="1:21" x14ac:dyDescent="0.25">
      <c r="A89">
        <f ca="1"/>
        <v>88</v>
      </c>
      <c r="B89" t="str">
        <f ca="1"/>
        <v>CN</v>
      </c>
      <c r="C89" t="str">
        <f ca="1"/>
        <v>Z</v>
      </c>
      <c r="D89" t="str">
        <f ca="1"/>
        <v>R-16_D</v>
      </c>
      <c r="E89">
        <f ca="1"/>
        <v>0</v>
      </c>
      <c r="F89">
        <f ca="1"/>
        <v>0</v>
      </c>
      <c r="G89">
        <f ca="1"/>
        <v>0</v>
      </c>
      <c r="H89">
        <f ca="1"/>
        <v>0</v>
      </c>
      <c r="I89">
        <f ca="1"/>
        <v>0</v>
      </c>
      <c r="J89">
        <f ca="1"/>
        <v>44</v>
      </c>
      <c r="K89">
        <f ca="1"/>
        <v>1</v>
      </c>
      <c r="L89">
        <f ca="1"/>
        <v>692181.41434678505</v>
      </c>
      <c r="M89">
        <f ca="1"/>
        <v>7572251.9701845171</v>
      </c>
      <c r="N89" t="str">
        <f ca="1"/>
        <v>R-16</v>
      </c>
      <c r="O89" t="str">
        <f ca="1"/>
        <v>R-16</v>
      </c>
      <c r="P89">
        <f ca="1"/>
        <v>1</v>
      </c>
      <c r="Q89">
        <f ca="1"/>
        <v>-3.0052300602456854</v>
      </c>
      <c r="R89" s="2">
        <f ca="1"/>
        <v>1.9599999999999997</v>
      </c>
      <c r="S89">
        <f ca="1"/>
        <v>0.64000000000000012</v>
      </c>
      <c r="T89">
        <f ca="1"/>
        <v>692181.915184104</v>
      </c>
      <c r="U89">
        <f ca="1"/>
        <v>7572253.02808904</v>
      </c>
    </row>
    <row r="90" spans="1:21" x14ac:dyDescent="0.25">
      <c r="A90">
        <f ca="1"/>
        <v>89</v>
      </c>
      <c r="B90" t="str">
        <f ca="1"/>
        <v>SX</v>
      </c>
      <c r="C90" t="str">
        <f ca="1"/>
        <v>Z</v>
      </c>
      <c r="D90" t="str">
        <f ca="1"/>
        <v>R-17_U</v>
      </c>
      <c r="E90">
        <f ca="1"/>
        <v>0</v>
      </c>
      <c r="F90">
        <f ca="1"/>
        <v>0</v>
      </c>
      <c r="G90">
        <f ca="1"/>
        <v>0</v>
      </c>
      <c r="H90">
        <f ca="1"/>
        <v>0</v>
      </c>
      <c r="I90">
        <f ca="1"/>
        <v>0</v>
      </c>
      <c r="J90">
        <f ca="1"/>
        <v>45</v>
      </c>
      <c r="K90">
        <f ca="1"/>
        <v>0</v>
      </c>
      <c r="L90">
        <f ca="1"/>
        <v>692463.78837442643</v>
      </c>
      <c r="M90">
        <f ca="1"/>
        <v>7573332.2565909792</v>
      </c>
      <c r="N90" t="str">
        <f ca="1"/>
        <v>R-17</v>
      </c>
      <c r="O90" t="str">
        <f ca="1"/>
        <v>R-17</v>
      </c>
      <c r="P90">
        <f ca="1"/>
        <v>0</v>
      </c>
      <c r="Q90">
        <f ca="1"/>
        <v>-0.47680474462717726</v>
      </c>
      <c r="R90" s="2">
        <f ca="1"/>
        <v>3.7239999999999998</v>
      </c>
      <c r="S90">
        <f ca="1"/>
        <v>0.64000000000000012</v>
      </c>
      <c r="T90">
        <f ca="1"/>
        <v>692464.07430746395</v>
      </c>
      <c r="U90">
        <f ca="1"/>
        <v>7573334.2046377696</v>
      </c>
    </row>
    <row r="91" spans="1:21" x14ac:dyDescent="0.25">
      <c r="A91">
        <f ca="1"/>
        <v>90</v>
      </c>
      <c r="B91" t="str">
        <f ca="1"/>
        <v>SX</v>
      </c>
      <c r="C91" t="str">
        <f ca="1"/>
        <v>Z</v>
      </c>
      <c r="D91" t="str">
        <f ca="1"/>
        <v>R-17_U</v>
      </c>
      <c r="E91">
        <f ca="1"/>
        <v>0</v>
      </c>
      <c r="F91">
        <f ca="1"/>
        <v>0</v>
      </c>
      <c r="G91">
        <f ca="1"/>
        <v>0</v>
      </c>
      <c r="H91">
        <f ca="1"/>
        <v>0</v>
      </c>
      <c r="I91">
        <f ca="1"/>
        <v>0</v>
      </c>
      <c r="J91">
        <f ca="1"/>
        <v>45</v>
      </c>
      <c r="K91">
        <f ca="1"/>
        <v>1</v>
      </c>
      <c r="L91">
        <f ca="1"/>
        <v>692465.49747684668</v>
      </c>
      <c r="M91">
        <f ca="1"/>
        <v>7573335.565237971</v>
      </c>
      <c r="N91" t="str">
        <f ca="1"/>
        <v>R-17</v>
      </c>
      <c r="O91" t="str">
        <f ca="1"/>
        <v>R-17</v>
      </c>
      <c r="P91">
        <f ca="1"/>
        <v>0</v>
      </c>
      <c r="Q91">
        <f ca="1"/>
        <v>-0.47680474462717726</v>
      </c>
      <c r="R91" s="2">
        <f ca="1"/>
        <v>3.7239999999999998</v>
      </c>
      <c r="S91">
        <f ca="1"/>
        <v>0.64000000000000012</v>
      </c>
      <c r="T91">
        <f ca="1"/>
        <v>692464.07430746395</v>
      </c>
      <c r="U91">
        <f ca="1"/>
        <v>7573334.2046377696</v>
      </c>
    </row>
    <row r="92" spans="1:21" x14ac:dyDescent="0.25">
      <c r="A92">
        <f ca="1"/>
        <v>91</v>
      </c>
      <c r="B92" t="str">
        <f ca="1"/>
        <v>CN</v>
      </c>
      <c r="C92" t="str">
        <f ca="1"/>
        <v>Z</v>
      </c>
      <c r="D92" t="str">
        <f ca="1"/>
        <v>R-17_U</v>
      </c>
      <c r="E92">
        <f ca="1"/>
        <v>0</v>
      </c>
      <c r="F92">
        <f ca="1"/>
        <v>0</v>
      </c>
      <c r="G92">
        <f ca="1"/>
        <v>0</v>
      </c>
      <c r="H92">
        <f ca="1"/>
        <v>0</v>
      </c>
      <c r="I92">
        <f ca="1"/>
        <v>0</v>
      </c>
      <c r="J92">
        <f ca="1"/>
        <v>46</v>
      </c>
      <c r="K92">
        <f ca="1"/>
        <v>0</v>
      </c>
      <c r="L92">
        <f ca="1"/>
        <v>692464.07430746395</v>
      </c>
      <c r="M92">
        <f ca="1"/>
        <v>7573334.2046377696</v>
      </c>
      <c r="N92" t="str">
        <f ca="1"/>
        <v>R-17</v>
      </c>
      <c r="O92" t="str">
        <f ca="1"/>
        <v>R-17</v>
      </c>
      <c r="P92">
        <f ca="1"/>
        <v>0</v>
      </c>
      <c r="Q92">
        <f ca="1"/>
        <v>-0.47680474462717726</v>
      </c>
      <c r="R92" s="2">
        <f ca="1"/>
        <v>3.7239999999999998</v>
      </c>
      <c r="S92">
        <f ca="1"/>
        <v>0.64000000000000012</v>
      </c>
      <c r="T92">
        <f ca="1"/>
        <v>692464.07430746395</v>
      </c>
      <c r="U92">
        <f ca="1"/>
        <v>7573334.2046377696</v>
      </c>
    </row>
    <row r="93" spans="1:21" x14ac:dyDescent="0.25">
      <c r="A93">
        <f ca="1"/>
        <v>92</v>
      </c>
      <c r="B93" t="str">
        <f ca="1"/>
        <v>CN</v>
      </c>
      <c r="C93" t="str">
        <f ca="1"/>
        <v>Z</v>
      </c>
      <c r="D93" t="str">
        <f ca="1"/>
        <v>R-17_U</v>
      </c>
      <c r="E93">
        <f ca="1"/>
        <v>0</v>
      </c>
      <c r="F93">
        <f ca="1"/>
        <v>0</v>
      </c>
      <c r="G93">
        <f ca="1"/>
        <v>0</v>
      </c>
      <c r="H93">
        <f ca="1"/>
        <v>0</v>
      </c>
      <c r="I93">
        <f ca="1"/>
        <v>0</v>
      </c>
      <c r="J93">
        <f ca="1"/>
        <v>46</v>
      </c>
      <c r="K93">
        <f ca="1"/>
        <v>1</v>
      </c>
      <c r="L93">
        <f ca="1"/>
        <v>692465.49747684668</v>
      </c>
      <c r="M93">
        <f ca="1"/>
        <v>7573335.565237971</v>
      </c>
      <c r="N93" t="str">
        <f ca="1"/>
        <v>R-17</v>
      </c>
      <c r="O93" t="str">
        <f ca="1"/>
        <v>R-17</v>
      </c>
      <c r="P93">
        <f ca="1"/>
        <v>0</v>
      </c>
      <c r="Q93">
        <f ca="1"/>
        <v>-0.47680474462717726</v>
      </c>
      <c r="R93" s="2">
        <f ca="1"/>
        <v>3.7239999999999998</v>
      </c>
      <c r="S93">
        <f ca="1"/>
        <v>0.64000000000000012</v>
      </c>
      <c r="T93">
        <f ca="1"/>
        <v>692464.07430746395</v>
      </c>
      <c r="U93">
        <f ca="1"/>
        <v>7573334.2046377696</v>
      </c>
    </row>
    <row r="94" spans="1:21" x14ac:dyDescent="0.25">
      <c r="A94">
        <f ca="1"/>
        <v>93</v>
      </c>
      <c r="B94" t="str">
        <f ca="1"/>
        <v>SX</v>
      </c>
      <c r="C94" t="str">
        <f ca="1"/>
        <v>Z</v>
      </c>
      <c r="D94" t="str">
        <f ca="1"/>
        <v>R-17_D</v>
      </c>
      <c r="E94">
        <f ca="1"/>
        <v>0</v>
      </c>
      <c r="F94">
        <f ca="1"/>
        <v>0</v>
      </c>
      <c r="G94">
        <f ca="1"/>
        <v>0</v>
      </c>
      <c r="H94">
        <f ca="1"/>
        <v>0</v>
      </c>
      <c r="I94">
        <f ca="1"/>
        <v>0</v>
      </c>
      <c r="J94">
        <f ca="1"/>
        <v>47</v>
      </c>
      <c r="K94">
        <f ca="1"/>
        <v>0</v>
      </c>
      <c r="L94">
        <f ca="1"/>
        <v>692436.31150605355</v>
      </c>
      <c r="M94">
        <f ca="1"/>
        <v>7573350.6414348101</v>
      </c>
      <c r="N94" t="str">
        <f ca="1"/>
        <v>R-17</v>
      </c>
      <c r="O94" t="str">
        <f ca="1"/>
        <v>R-17</v>
      </c>
      <c r="P94">
        <f ca="1"/>
        <v>1</v>
      </c>
      <c r="Q94">
        <f ca="1"/>
        <v>2.6647879089626159</v>
      </c>
      <c r="R94" s="2">
        <f ca="1"/>
        <v>3.7239999999999998</v>
      </c>
      <c r="S94">
        <f ca="1"/>
        <v>0.64000000000000012</v>
      </c>
      <c r="T94">
        <f ca="1"/>
        <v>692436.02557301603</v>
      </c>
      <c r="U94">
        <f ca="1"/>
        <v>7573348.6933880197</v>
      </c>
    </row>
    <row r="95" spans="1:21" x14ac:dyDescent="0.25">
      <c r="A95">
        <f ca="1"/>
        <v>94</v>
      </c>
      <c r="B95" t="str">
        <f ca="1"/>
        <v>SX</v>
      </c>
      <c r="C95" t="str">
        <f ca="1"/>
        <v>Z</v>
      </c>
      <c r="D95" t="str">
        <f ca="1"/>
        <v>R-17_D</v>
      </c>
      <c r="E95">
        <f ca="1"/>
        <v>0</v>
      </c>
      <c r="F95">
        <f ca="1"/>
        <v>0</v>
      </c>
      <c r="G95">
        <f ca="1"/>
        <v>0</v>
      </c>
      <c r="H95">
        <f ca="1"/>
        <v>0</v>
      </c>
      <c r="I95">
        <f ca="1"/>
        <v>0</v>
      </c>
      <c r="J95">
        <f ca="1"/>
        <v>47</v>
      </c>
      <c r="K95">
        <f ca="1"/>
        <v>1</v>
      </c>
      <c r="L95">
        <f ca="1"/>
        <v>692434.6024036333</v>
      </c>
      <c r="M95">
        <f ca="1"/>
        <v>7573347.3327878183</v>
      </c>
      <c r="N95" t="str">
        <f ca="1"/>
        <v>R-17</v>
      </c>
      <c r="O95" t="str">
        <f ca="1"/>
        <v>R-17</v>
      </c>
      <c r="P95">
        <f ca="1"/>
        <v>1</v>
      </c>
      <c r="Q95">
        <f ca="1"/>
        <v>2.6647879089626159</v>
      </c>
      <c r="R95" s="2">
        <f ca="1"/>
        <v>3.7239999999999998</v>
      </c>
      <c r="S95">
        <f ca="1"/>
        <v>0.64000000000000012</v>
      </c>
      <c r="T95">
        <f ca="1"/>
        <v>692436.02557301603</v>
      </c>
      <c r="U95">
        <f ca="1"/>
        <v>7573348.6933880197</v>
      </c>
    </row>
    <row r="96" spans="1:21" x14ac:dyDescent="0.25">
      <c r="A96">
        <f ca="1"/>
        <v>95</v>
      </c>
      <c r="B96" t="str">
        <f ca="1"/>
        <v>CN</v>
      </c>
      <c r="C96" t="str">
        <f ca="1"/>
        <v>Z</v>
      </c>
      <c r="D96" t="str">
        <f ca="1"/>
        <v>R-17_D</v>
      </c>
      <c r="E96">
        <f ca="1"/>
        <v>0</v>
      </c>
      <c r="F96">
        <f ca="1"/>
        <v>0</v>
      </c>
      <c r="G96">
        <f ca="1"/>
        <v>0</v>
      </c>
      <c r="H96">
        <f ca="1"/>
        <v>0</v>
      </c>
      <c r="I96">
        <f ca="1"/>
        <v>0</v>
      </c>
      <c r="J96">
        <f ca="1"/>
        <v>48</v>
      </c>
      <c r="K96">
        <f ca="1"/>
        <v>0</v>
      </c>
      <c r="L96">
        <f ca="1"/>
        <v>692436.02557301603</v>
      </c>
      <c r="M96">
        <f ca="1"/>
        <v>7573348.6933880197</v>
      </c>
      <c r="N96" t="str">
        <f ca="1"/>
        <v>R-17</v>
      </c>
      <c r="O96" t="str">
        <f ca="1"/>
        <v>R-17</v>
      </c>
      <c r="P96">
        <f ca="1"/>
        <v>1</v>
      </c>
      <c r="Q96">
        <f ca="1"/>
        <v>2.6647879089626159</v>
      </c>
      <c r="R96" s="2">
        <f ca="1"/>
        <v>3.7239999999999998</v>
      </c>
      <c r="S96">
        <f ca="1"/>
        <v>0.64000000000000012</v>
      </c>
      <c r="T96">
        <f ca="1"/>
        <v>692436.02557301603</v>
      </c>
      <c r="U96">
        <f ca="1"/>
        <v>7573348.6933880197</v>
      </c>
    </row>
    <row r="97" spans="1:21" x14ac:dyDescent="0.25">
      <c r="A97">
        <f ca="1"/>
        <v>96</v>
      </c>
      <c r="B97" t="str">
        <f ca="1"/>
        <v>CN</v>
      </c>
      <c r="C97" t="str">
        <f ca="1"/>
        <v>Z</v>
      </c>
      <c r="D97" t="str">
        <f ca="1"/>
        <v>R-17_D</v>
      </c>
      <c r="E97">
        <f ca="1"/>
        <v>0</v>
      </c>
      <c r="F97">
        <f ca="1"/>
        <v>0</v>
      </c>
      <c r="G97">
        <f ca="1"/>
        <v>0</v>
      </c>
      <c r="H97">
        <f ca="1"/>
        <v>0</v>
      </c>
      <c r="I97">
        <f ca="1"/>
        <v>0</v>
      </c>
      <c r="J97">
        <f ca="1"/>
        <v>48</v>
      </c>
      <c r="K97">
        <f ca="1"/>
        <v>1</v>
      </c>
      <c r="L97">
        <f ca="1"/>
        <v>692434.6024036333</v>
      </c>
      <c r="M97">
        <f ca="1"/>
        <v>7573347.3327878183</v>
      </c>
      <c r="N97" t="str">
        <f ca="1"/>
        <v>R-17</v>
      </c>
      <c r="O97" t="str">
        <f ca="1"/>
        <v>R-17</v>
      </c>
      <c r="P97">
        <f ca="1"/>
        <v>1</v>
      </c>
      <c r="Q97">
        <f ca="1"/>
        <v>2.6647879089626159</v>
      </c>
      <c r="R97" s="2">
        <f ca="1"/>
        <v>3.7239999999999998</v>
      </c>
      <c r="S97">
        <f ca="1"/>
        <v>0.64000000000000012</v>
      </c>
      <c r="T97">
        <f ca="1"/>
        <v>692436.02557301603</v>
      </c>
      <c r="U97">
        <f ca="1"/>
        <v>7573348.6933880197</v>
      </c>
    </row>
    <row r="98" spans="1:21" x14ac:dyDescent="0.25">
      <c r="A98">
        <f ca="1"/>
        <v>97</v>
      </c>
      <c r="B98" t="str">
        <f ca="1"/>
        <v>SX</v>
      </c>
      <c r="C98" t="str">
        <f ca="1"/>
        <v>Z</v>
      </c>
      <c r="D98" t="str">
        <f ca="1"/>
        <v>R-17b_U</v>
      </c>
      <c r="E98">
        <f ca="1"/>
        <v>0</v>
      </c>
      <c r="F98">
        <f ca="1"/>
        <v>0</v>
      </c>
      <c r="G98">
        <f ca="1"/>
        <v>0</v>
      </c>
      <c r="H98">
        <f ca="1"/>
        <v>0</v>
      </c>
      <c r="I98">
        <f ca="1"/>
        <v>0</v>
      </c>
      <c r="J98">
        <f ca="1"/>
        <v>49</v>
      </c>
      <c r="K98">
        <f ca="1"/>
        <v>0</v>
      </c>
      <c r="L98">
        <f ca="1"/>
        <v>692508.02360750549</v>
      </c>
      <c r="M98">
        <f ca="1"/>
        <v>7573519.0245897062</v>
      </c>
      <c r="N98" t="str">
        <f ca="1"/>
        <v>R-17b</v>
      </c>
      <c r="O98" t="str">
        <f ca="1"/>
        <v>R-17b</v>
      </c>
      <c r="P98">
        <f ca="1"/>
        <v>0</v>
      </c>
      <c r="Q98">
        <f ca="1"/>
        <v>0.15166475373887511</v>
      </c>
      <c r="R98" s="2">
        <f ca="1"/>
        <v>1.708</v>
      </c>
      <c r="S98">
        <f ca="1"/>
        <v>0.64000000000000012</v>
      </c>
      <c r="T98">
        <f ca="1"/>
        <v>692507.26192838699</v>
      </c>
      <c r="U98">
        <f ca="1"/>
        <v>7573519.7720928304</v>
      </c>
    </row>
    <row r="99" spans="1:21" x14ac:dyDescent="0.25">
      <c r="A99">
        <f ca="1"/>
        <v>98</v>
      </c>
      <c r="B99" t="str">
        <f ca="1"/>
        <v>SX</v>
      </c>
      <c r="C99" t="str">
        <f ca="1"/>
        <v>Z</v>
      </c>
      <c r="D99" t="str">
        <f ca="1"/>
        <v>R-17b_U</v>
      </c>
      <c r="E99">
        <f ca="1"/>
        <v>0</v>
      </c>
      <c r="F99">
        <f ca="1"/>
        <v>0</v>
      </c>
      <c r="G99">
        <f ca="1"/>
        <v>0</v>
      </c>
      <c r="H99">
        <f ca="1"/>
        <v>0</v>
      </c>
      <c r="I99">
        <f ca="1"/>
        <v>0</v>
      </c>
      <c r="J99">
        <f ca="1"/>
        <v>49</v>
      </c>
      <c r="K99">
        <f ca="1"/>
        <v>1</v>
      </c>
      <c r="L99">
        <f ca="1"/>
        <v>692507.7655560592</v>
      </c>
      <c r="M99">
        <f ca="1"/>
        <v>7573520.7129834555</v>
      </c>
      <c r="N99" t="str">
        <f ca="1"/>
        <v>R-17b</v>
      </c>
      <c r="O99" t="str">
        <f ca="1"/>
        <v>R-17b</v>
      </c>
      <c r="P99">
        <f ca="1"/>
        <v>0</v>
      </c>
      <c r="Q99">
        <f ca="1"/>
        <v>0.15166475373887511</v>
      </c>
      <c r="R99" s="2">
        <f ca="1"/>
        <v>1.708</v>
      </c>
      <c r="S99">
        <f ca="1"/>
        <v>0.64000000000000012</v>
      </c>
      <c r="T99">
        <f ca="1"/>
        <v>692507.26192838699</v>
      </c>
      <c r="U99">
        <f ca="1"/>
        <v>7573519.7720928304</v>
      </c>
    </row>
    <row r="100" spans="1:21" x14ac:dyDescent="0.25">
      <c r="A100">
        <f ca="1"/>
        <v>99</v>
      </c>
      <c r="B100" t="str">
        <f ca="1"/>
        <v>CN</v>
      </c>
      <c r="C100" t="str">
        <f ca="1"/>
        <v>Z</v>
      </c>
      <c r="D100" t="str">
        <f ca="1"/>
        <v>R-17b_U</v>
      </c>
      <c r="E100">
        <f ca="1"/>
        <v>0</v>
      </c>
      <c r="F100">
        <f ca="1"/>
        <v>0</v>
      </c>
      <c r="G100">
        <f ca="1"/>
        <v>0</v>
      </c>
      <c r="H100">
        <f ca="1"/>
        <v>0</v>
      </c>
      <c r="I100">
        <f ca="1"/>
        <v>0</v>
      </c>
      <c r="J100">
        <f ca="1"/>
        <v>50</v>
      </c>
      <c r="K100">
        <f ca="1"/>
        <v>0</v>
      </c>
      <c r="L100">
        <f ca="1"/>
        <v>692507.26192838699</v>
      </c>
      <c r="M100">
        <f ca="1"/>
        <v>7573519.7720928304</v>
      </c>
      <c r="N100" t="str">
        <f ca="1"/>
        <v>R-17b</v>
      </c>
      <c r="O100" t="str">
        <f ca="1"/>
        <v>R-17b</v>
      </c>
      <c r="P100">
        <f ca="1"/>
        <v>0</v>
      </c>
      <c r="Q100">
        <f ca="1"/>
        <v>0.15166475373887511</v>
      </c>
      <c r="R100" s="2">
        <f ca="1"/>
        <v>1.708</v>
      </c>
      <c r="S100">
        <f ca="1"/>
        <v>0.64000000000000012</v>
      </c>
      <c r="T100">
        <f ca="1"/>
        <v>692507.26192838699</v>
      </c>
      <c r="U100">
        <f ca="1"/>
        <v>7573519.7720928304</v>
      </c>
    </row>
    <row r="101" spans="1:21" x14ac:dyDescent="0.25">
      <c r="A101">
        <f ca="1"/>
        <v>100</v>
      </c>
      <c r="B101" t="str">
        <f ca="1"/>
        <v>CN</v>
      </c>
      <c r="C101" t="str">
        <f ca="1"/>
        <v>Z</v>
      </c>
      <c r="D101" t="str">
        <f ca="1"/>
        <v>R-17b_U</v>
      </c>
      <c r="E101">
        <f ca="1"/>
        <v>0</v>
      </c>
      <c r="F101">
        <f ca="1"/>
        <v>0</v>
      </c>
      <c r="G101">
        <f ca="1"/>
        <v>0</v>
      </c>
      <c r="H101">
        <f ca="1"/>
        <v>0</v>
      </c>
      <c r="I101">
        <f ca="1"/>
        <v>0</v>
      </c>
      <c r="J101">
        <f ca="1"/>
        <v>50</v>
      </c>
      <c r="K101">
        <f ca="1"/>
        <v>1</v>
      </c>
      <c r="L101">
        <f ca="1"/>
        <v>692507.7655560592</v>
      </c>
      <c r="M101">
        <f ca="1"/>
        <v>7573520.7129834555</v>
      </c>
      <c r="N101" t="str">
        <f ca="1"/>
        <v>R-17b</v>
      </c>
      <c r="O101" t="str">
        <f ca="1"/>
        <v>R-17b</v>
      </c>
      <c r="P101">
        <f ca="1"/>
        <v>0</v>
      </c>
      <c r="Q101">
        <f ca="1"/>
        <v>0.15166475373887511</v>
      </c>
      <c r="R101" s="2">
        <f ca="1"/>
        <v>1.708</v>
      </c>
      <c r="S101">
        <f ca="1"/>
        <v>0.64000000000000012</v>
      </c>
      <c r="T101">
        <f ca="1"/>
        <v>692507.26192838699</v>
      </c>
      <c r="U101">
        <f ca="1"/>
        <v>7573519.7720928304</v>
      </c>
    </row>
    <row r="102" spans="1:21" x14ac:dyDescent="0.25">
      <c r="A102">
        <f ca="1"/>
        <v>101</v>
      </c>
      <c r="B102" t="str">
        <f ca="1"/>
        <v>SX</v>
      </c>
      <c r="C102" t="str">
        <f ca="1"/>
        <v>Z</v>
      </c>
      <c r="D102" t="str">
        <f ca="1"/>
        <v>R-17b_D</v>
      </c>
      <c r="E102">
        <f ca="1"/>
        <v>0</v>
      </c>
      <c r="F102">
        <f ca="1"/>
        <v>0</v>
      </c>
      <c r="G102">
        <f ca="1"/>
        <v>0</v>
      </c>
      <c r="H102">
        <f ca="1"/>
        <v>0</v>
      </c>
      <c r="I102">
        <f ca="1"/>
        <v>0</v>
      </c>
      <c r="J102">
        <f ca="1"/>
        <v>51</v>
      </c>
      <c r="K102">
        <f ca="1"/>
        <v>0</v>
      </c>
      <c r="L102">
        <f ca="1"/>
        <v>692463.96276457445</v>
      </c>
      <c r="M102">
        <f ca="1"/>
        <v>7573514.0182336643</v>
      </c>
      <c r="N102" t="str">
        <f ca="1"/>
        <v>R-17b</v>
      </c>
      <c r="O102" t="str">
        <f ca="1"/>
        <v>R-17b</v>
      </c>
      <c r="P102">
        <f ca="1"/>
        <v>1</v>
      </c>
      <c r="Q102">
        <f ca="1"/>
        <v>-2.989927899850918</v>
      </c>
      <c r="R102" s="2">
        <f ca="1"/>
        <v>1.708</v>
      </c>
      <c r="S102">
        <f ca="1"/>
        <v>0.64000000000000012</v>
      </c>
      <c r="T102">
        <f ca="1"/>
        <v>692464.72444369295</v>
      </c>
      <c r="U102">
        <f ca="1"/>
        <v>7573513.2707305402</v>
      </c>
    </row>
    <row r="103" spans="1:21" x14ac:dyDescent="0.25">
      <c r="A103">
        <f ca="1"/>
        <v>102</v>
      </c>
      <c r="B103" t="str">
        <f ca="1"/>
        <v>SX</v>
      </c>
      <c r="C103" t="str">
        <f ca="1"/>
        <v>Z</v>
      </c>
      <c r="D103" t="str">
        <f ca="1"/>
        <v>R-17b_D</v>
      </c>
      <c r="E103">
        <f ca="1"/>
        <v>0</v>
      </c>
      <c r="F103">
        <f ca="1"/>
        <v>0</v>
      </c>
      <c r="G103">
        <f ca="1"/>
        <v>0</v>
      </c>
      <c r="H103">
        <f ca="1"/>
        <v>0</v>
      </c>
      <c r="I103">
        <f ca="1"/>
        <v>0</v>
      </c>
      <c r="J103">
        <f ca="1"/>
        <v>51</v>
      </c>
      <c r="K103">
        <f ca="1"/>
        <v>1</v>
      </c>
      <c r="L103">
        <f ca="1"/>
        <v>692464.22081602074</v>
      </c>
      <c r="M103">
        <f ca="1"/>
        <v>7573512.329839915</v>
      </c>
      <c r="N103" t="str">
        <f ca="1"/>
        <v>R-17b</v>
      </c>
      <c r="O103" t="str">
        <f ca="1"/>
        <v>R-17b</v>
      </c>
      <c r="P103">
        <f ca="1"/>
        <v>1</v>
      </c>
      <c r="Q103">
        <f ca="1"/>
        <v>-2.989927899850918</v>
      </c>
      <c r="R103" s="2">
        <f ca="1"/>
        <v>1.708</v>
      </c>
      <c r="S103">
        <f ca="1"/>
        <v>0.64000000000000012</v>
      </c>
      <c r="T103">
        <f ca="1"/>
        <v>692464.72444369295</v>
      </c>
      <c r="U103">
        <f ca="1"/>
        <v>7573513.2707305402</v>
      </c>
    </row>
    <row r="104" spans="1:21" x14ac:dyDescent="0.25">
      <c r="A104">
        <f ca="1"/>
        <v>103</v>
      </c>
      <c r="B104" t="str">
        <f ca="1"/>
        <v>CN</v>
      </c>
      <c r="C104" t="str">
        <f ca="1"/>
        <v>Z</v>
      </c>
      <c r="D104" t="str">
        <f ca="1"/>
        <v>R-17b_D</v>
      </c>
      <c r="E104">
        <f ca="1"/>
        <v>0</v>
      </c>
      <c r="F104">
        <f ca="1"/>
        <v>0</v>
      </c>
      <c r="G104">
        <f ca="1"/>
        <v>0</v>
      </c>
      <c r="H104">
        <f ca="1"/>
        <v>0</v>
      </c>
      <c r="I104">
        <f ca="1"/>
        <v>0</v>
      </c>
      <c r="J104">
        <f ca="1"/>
        <v>52</v>
      </c>
      <c r="K104">
        <f ca="1"/>
        <v>0</v>
      </c>
      <c r="L104">
        <f ca="1"/>
        <v>692464.72444369295</v>
      </c>
      <c r="M104">
        <f ca="1"/>
        <v>7573513.2707305402</v>
      </c>
      <c r="N104" t="str">
        <f ca="1"/>
        <v>R-17b</v>
      </c>
      <c r="O104" t="str">
        <f ca="1"/>
        <v>R-17b</v>
      </c>
      <c r="P104">
        <f ca="1"/>
        <v>1</v>
      </c>
      <c r="Q104">
        <f ca="1"/>
        <v>-2.989927899850918</v>
      </c>
      <c r="R104" s="2">
        <f ca="1"/>
        <v>1.708</v>
      </c>
      <c r="S104">
        <f ca="1"/>
        <v>0.64000000000000012</v>
      </c>
      <c r="T104">
        <f ca="1"/>
        <v>692464.72444369295</v>
      </c>
      <c r="U104">
        <f ca="1"/>
        <v>7573513.2707305402</v>
      </c>
    </row>
    <row r="105" spans="1:21" x14ac:dyDescent="0.25">
      <c r="A105">
        <f ca="1"/>
        <v>104</v>
      </c>
      <c r="B105" t="str">
        <f ca="1"/>
        <v>CN</v>
      </c>
      <c r="C105" t="str">
        <f ca="1"/>
        <v>Z</v>
      </c>
      <c r="D105" t="str">
        <f ca="1"/>
        <v>R-17b_D</v>
      </c>
      <c r="E105">
        <f ca="1"/>
        <v>0</v>
      </c>
      <c r="F105">
        <f ca="1"/>
        <v>0</v>
      </c>
      <c r="G105">
        <f ca="1"/>
        <v>0</v>
      </c>
      <c r="H105">
        <f ca="1"/>
        <v>0</v>
      </c>
      <c r="I105">
        <f ca="1"/>
        <v>0</v>
      </c>
      <c r="J105">
        <f ca="1"/>
        <v>52</v>
      </c>
      <c r="K105">
        <f ca="1"/>
        <v>1</v>
      </c>
      <c r="L105">
        <f ca="1"/>
        <v>692464.22081602074</v>
      </c>
      <c r="M105">
        <f ca="1"/>
        <v>7573512.329839915</v>
      </c>
      <c r="N105" t="str">
        <f ca="1"/>
        <v>R-17b</v>
      </c>
      <c r="O105" t="str">
        <f ca="1"/>
        <v>R-17b</v>
      </c>
      <c r="P105">
        <f ca="1"/>
        <v>1</v>
      </c>
      <c r="Q105">
        <f ca="1"/>
        <v>-2.989927899850918</v>
      </c>
      <c r="R105" s="2">
        <f ca="1"/>
        <v>1.708</v>
      </c>
      <c r="S105">
        <f ca="1"/>
        <v>0.64000000000000012</v>
      </c>
      <c r="T105">
        <f ca="1"/>
        <v>692464.72444369295</v>
      </c>
      <c r="U105">
        <f ca="1"/>
        <v>7573513.2707305402</v>
      </c>
    </row>
    <row r="106" spans="1:21" x14ac:dyDescent="0.25">
      <c r="A106">
        <f ca="1"/>
        <v>105</v>
      </c>
      <c r="B106" t="str">
        <f ca="1"/>
        <v>SX</v>
      </c>
      <c r="C106" t="str">
        <f ca="1"/>
        <v>Z</v>
      </c>
      <c r="D106" t="str">
        <f ca="1"/>
        <v>R-18_U</v>
      </c>
      <c r="E106">
        <f ca="1"/>
        <v>0</v>
      </c>
      <c r="F106">
        <f ca="1"/>
        <v>0</v>
      </c>
      <c r="G106">
        <f ca="1"/>
        <v>0</v>
      </c>
      <c r="H106">
        <f ca="1"/>
        <v>0</v>
      </c>
      <c r="I106">
        <f ca="1"/>
        <v>0</v>
      </c>
      <c r="J106">
        <f ca="1"/>
        <v>53</v>
      </c>
      <c r="K106">
        <f ca="1"/>
        <v>0</v>
      </c>
      <c r="L106">
        <f ca="1"/>
        <v>693236.2804370526</v>
      </c>
      <c r="M106">
        <f ca="1"/>
        <v>7574679.0225621881</v>
      </c>
      <c r="N106" t="str">
        <f ca="1"/>
        <v>R-18</v>
      </c>
      <c r="O106" t="str">
        <f ca="1"/>
        <v>R-18</v>
      </c>
      <c r="P106">
        <f ca="1"/>
        <v>0</v>
      </c>
      <c r="Q106">
        <f ca="1"/>
        <v>-0.96850898079786951</v>
      </c>
      <c r="R106" s="2">
        <f ca="1"/>
        <v>7</v>
      </c>
      <c r="S106">
        <f ca="1"/>
        <v>0.64000000000000012</v>
      </c>
      <c r="T106">
        <f ca="1"/>
        <v>693238.80200534104</v>
      </c>
      <c r="U106">
        <f ca="1"/>
        <v>7574681.5327998996</v>
      </c>
    </row>
    <row r="107" spans="1:21" x14ac:dyDescent="0.25">
      <c r="A107">
        <f ca="1"/>
        <v>106</v>
      </c>
      <c r="B107" t="str">
        <f ca="1"/>
        <v>SX</v>
      </c>
      <c r="C107" t="str">
        <f ca="1"/>
        <v>Z</v>
      </c>
      <c r="D107" t="str">
        <f ca="1"/>
        <v>R-18_U</v>
      </c>
      <c r="E107">
        <f ca="1"/>
        <v>0</v>
      </c>
      <c r="F107">
        <f ca="1"/>
        <v>0</v>
      </c>
      <c r="G107">
        <f ca="1"/>
        <v>0</v>
      </c>
      <c r="H107">
        <f ca="1"/>
        <v>0</v>
      </c>
      <c r="I107">
        <f ca="1"/>
        <v>0</v>
      </c>
      <c r="J107">
        <f ca="1"/>
        <v>53</v>
      </c>
      <c r="K107">
        <f ca="1"/>
        <v>1</v>
      </c>
      <c r="L107">
        <f ca="1"/>
        <v>693242.04873052263</v>
      </c>
      <c r="M107">
        <f ca="1"/>
        <v>7574682.9882639479</v>
      </c>
      <c r="N107" t="str">
        <f ca="1"/>
        <v>R-18</v>
      </c>
      <c r="O107" t="str">
        <f ca="1"/>
        <v>R-18</v>
      </c>
      <c r="P107">
        <f ca="1"/>
        <v>0</v>
      </c>
      <c r="Q107">
        <f ca="1"/>
        <v>-0.96850898079786951</v>
      </c>
      <c r="R107" s="2">
        <f ca="1"/>
        <v>7</v>
      </c>
      <c r="S107">
        <f ca="1"/>
        <v>0.64000000000000012</v>
      </c>
      <c r="T107">
        <f ca="1"/>
        <v>693238.80200534104</v>
      </c>
      <c r="U107">
        <f ca="1"/>
        <v>7574681.5327998996</v>
      </c>
    </row>
    <row r="108" spans="1:21" x14ac:dyDescent="0.25">
      <c r="A108">
        <f ca="1"/>
        <v>107</v>
      </c>
      <c r="B108" t="str">
        <f ca="1"/>
        <v>CN</v>
      </c>
      <c r="C108" t="str">
        <f ca="1"/>
        <v>Z</v>
      </c>
      <c r="D108" t="str">
        <f ca="1"/>
        <v>R-18_U</v>
      </c>
      <c r="E108">
        <f ca="1"/>
        <v>0</v>
      </c>
      <c r="F108">
        <f ca="1"/>
        <v>0</v>
      </c>
      <c r="G108">
        <f ca="1"/>
        <v>0</v>
      </c>
      <c r="H108">
        <f ca="1"/>
        <v>0</v>
      </c>
      <c r="I108">
        <f ca="1"/>
        <v>0</v>
      </c>
      <c r="J108">
        <f ca="1"/>
        <v>54</v>
      </c>
      <c r="K108">
        <f ca="1"/>
        <v>0</v>
      </c>
      <c r="L108">
        <f ca="1"/>
        <v>693238.80200534104</v>
      </c>
      <c r="M108">
        <f ca="1"/>
        <v>7574681.5327998996</v>
      </c>
      <c r="N108" t="str">
        <f ca="1"/>
        <v>R-18</v>
      </c>
      <c r="O108" t="str">
        <f ca="1"/>
        <v>R-18</v>
      </c>
      <c r="P108">
        <f ca="1"/>
        <v>0</v>
      </c>
      <c r="Q108">
        <f ca="1"/>
        <v>-0.96850898079786951</v>
      </c>
      <c r="R108" s="2">
        <f ca="1"/>
        <v>7</v>
      </c>
      <c r="S108">
        <f ca="1"/>
        <v>0.64000000000000012</v>
      </c>
      <c r="T108">
        <f ca="1"/>
        <v>693238.80200534104</v>
      </c>
      <c r="U108">
        <f ca="1"/>
        <v>7574681.5327998996</v>
      </c>
    </row>
    <row r="109" spans="1:21" x14ac:dyDescent="0.25">
      <c r="A109">
        <f ca="1"/>
        <v>108</v>
      </c>
      <c r="B109" t="str">
        <f ca="1"/>
        <v>CN</v>
      </c>
      <c r="C109" t="str">
        <f ca="1"/>
        <v>Z</v>
      </c>
      <c r="D109" t="str">
        <f ca="1"/>
        <v>R-18_U</v>
      </c>
      <c r="E109">
        <f ca="1"/>
        <v>0</v>
      </c>
      <c r="F109">
        <f ca="1"/>
        <v>0</v>
      </c>
      <c r="G109">
        <f ca="1"/>
        <v>0</v>
      </c>
      <c r="H109">
        <f ca="1"/>
        <v>0</v>
      </c>
      <c r="I109">
        <f ca="1"/>
        <v>0</v>
      </c>
      <c r="J109">
        <f ca="1"/>
        <v>54</v>
      </c>
      <c r="K109">
        <f ca="1"/>
        <v>1</v>
      </c>
      <c r="L109">
        <f ca="1"/>
        <v>693242.04873052263</v>
      </c>
      <c r="M109">
        <f ca="1"/>
        <v>7574682.9882639479</v>
      </c>
      <c r="N109" t="str">
        <f ca="1"/>
        <v>R-18</v>
      </c>
      <c r="O109" t="str">
        <f ca="1"/>
        <v>R-18</v>
      </c>
      <c r="P109">
        <f ca="1"/>
        <v>0</v>
      </c>
      <c r="Q109">
        <f ca="1"/>
        <v>-0.96850898079786951</v>
      </c>
      <c r="R109" s="2">
        <f ca="1"/>
        <v>7</v>
      </c>
      <c r="S109">
        <f ca="1"/>
        <v>0.64000000000000012</v>
      </c>
      <c r="T109">
        <f ca="1"/>
        <v>693238.80200534104</v>
      </c>
      <c r="U109">
        <f ca="1"/>
        <v>7574681.5327998996</v>
      </c>
    </row>
    <row r="110" spans="1:21" x14ac:dyDescent="0.25">
      <c r="A110">
        <f ca="1"/>
        <v>109</v>
      </c>
      <c r="B110" t="str">
        <f ca="1"/>
        <v>SX</v>
      </c>
      <c r="C110" t="str">
        <f ca="1"/>
        <v>Z</v>
      </c>
      <c r="D110" t="str">
        <f ca="1"/>
        <v>R-18_D</v>
      </c>
      <c r="E110">
        <f ca="1"/>
        <v>0</v>
      </c>
      <c r="F110">
        <f ca="1"/>
        <v>0</v>
      </c>
      <c r="G110">
        <f ca="1"/>
        <v>0</v>
      </c>
      <c r="H110">
        <f ca="1"/>
        <v>0</v>
      </c>
      <c r="I110">
        <f ca="1"/>
        <v>0</v>
      </c>
      <c r="J110">
        <f ca="1"/>
        <v>55</v>
      </c>
      <c r="K110">
        <f ca="1"/>
        <v>0</v>
      </c>
      <c r="L110">
        <f ca="1"/>
        <v>693224.5783523944</v>
      </c>
      <c r="M110">
        <f ca="1"/>
        <v>7574708.3997230511</v>
      </c>
      <c r="N110" t="str">
        <f ca="1"/>
        <v>R-18</v>
      </c>
      <c r="O110" t="str">
        <f ca="1"/>
        <v>R-18</v>
      </c>
      <c r="P110">
        <f ca="1"/>
        <v>1</v>
      </c>
      <c r="Q110">
        <f ca="1"/>
        <v>2.1730836727919236</v>
      </c>
      <c r="R110" s="2">
        <f ca="1"/>
        <v>7</v>
      </c>
      <c r="S110">
        <f ca="1"/>
        <v>0.64000000000000012</v>
      </c>
      <c r="T110">
        <f ca="1"/>
        <v>693222.05678410595</v>
      </c>
      <c r="U110">
        <f ca="1"/>
        <v>7574705.8894853396</v>
      </c>
    </row>
    <row r="111" spans="1:21" x14ac:dyDescent="0.25">
      <c r="A111">
        <f ca="1"/>
        <v>110</v>
      </c>
      <c r="B111" t="str">
        <f ca="1"/>
        <v>SX</v>
      </c>
      <c r="C111" t="str">
        <f ca="1"/>
        <v>Z</v>
      </c>
      <c r="D111" t="str">
        <f ca="1"/>
        <v>R-18_D</v>
      </c>
      <c r="E111">
        <f ca="1"/>
        <v>0</v>
      </c>
      <c r="F111">
        <f ca="1"/>
        <v>0</v>
      </c>
      <c r="G111">
        <f ca="1"/>
        <v>0</v>
      </c>
      <c r="H111">
        <f ca="1"/>
        <v>0</v>
      </c>
      <c r="I111">
        <f ca="1"/>
        <v>0</v>
      </c>
      <c r="J111">
        <f ca="1"/>
        <v>55</v>
      </c>
      <c r="K111">
        <f ca="1"/>
        <v>1</v>
      </c>
      <c r="L111">
        <f ca="1"/>
        <v>693218.81005892437</v>
      </c>
      <c r="M111">
        <f ca="1"/>
        <v>7574704.4340212913</v>
      </c>
      <c r="N111" t="str">
        <f ca="1"/>
        <v>R-18</v>
      </c>
      <c r="O111" t="str">
        <f ca="1"/>
        <v>R-18</v>
      </c>
      <c r="P111">
        <f ca="1"/>
        <v>1</v>
      </c>
      <c r="Q111">
        <f ca="1"/>
        <v>2.1730836727919236</v>
      </c>
      <c r="R111" s="2">
        <f ca="1"/>
        <v>7</v>
      </c>
      <c r="S111">
        <f ca="1"/>
        <v>0.64000000000000012</v>
      </c>
      <c r="T111">
        <f ca="1"/>
        <v>693222.05678410595</v>
      </c>
      <c r="U111">
        <f ca="1"/>
        <v>7574705.8894853396</v>
      </c>
    </row>
    <row r="112" spans="1:21" x14ac:dyDescent="0.25">
      <c r="A112">
        <f ca="1"/>
        <v>111</v>
      </c>
      <c r="B112" t="str">
        <f ca="1"/>
        <v>CN</v>
      </c>
      <c r="C112" t="str">
        <f ca="1"/>
        <v>Z</v>
      </c>
      <c r="D112" t="str">
        <f ca="1"/>
        <v>R-18_D</v>
      </c>
      <c r="E112">
        <f ca="1"/>
        <v>0</v>
      </c>
      <c r="F112">
        <f ca="1"/>
        <v>0</v>
      </c>
      <c r="G112">
        <f ca="1"/>
        <v>0</v>
      </c>
      <c r="H112">
        <f ca="1"/>
        <v>0</v>
      </c>
      <c r="I112">
        <f ca="1"/>
        <v>0</v>
      </c>
      <c r="J112">
        <f ca="1"/>
        <v>56</v>
      </c>
      <c r="K112">
        <f ca="1"/>
        <v>0</v>
      </c>
      <c r="L112">
        <f ca="1"/>
        <v>693222.05678410595</v>
      </c>
      <c r="M112">
        <f ca="1"/>
        <v>7574705.8894853396</v>
      </c>
      <c r="N112" t="str">
        <f ca="1"/>
        <v>R-18</v>
      </c>
      <c r="O112" t="str">
        <f ca="1"/>
        <v>R-18</v>
      </c>
      <c r="P112">
        <f ca="1"/>
        <v>1</v>
      </c>
      <c r="Q112">
        <f ca="1"/>
        <v>2.1730836727919236</v>
      </c>
      <c r="R112" s="2">
        <f ca="1"/>
        <v>7</v>
      </c>
      <c r="S112">
        <f ca="1"/>
        <v>0.64000000000000012</v>
      </c>
      <c r="T112">
        <f ca="1"/>
        <v>693222.05678410595</v>
      </c>
      <c r="U112">
        <f ca="1"/>
        <v>7574705.8894853396</v>
      </c>
    </row>
    <row r="113" spans="1:21" x14ac:dyDescent="0.25">
      <c r="A113">
        <f ca="1"/>
        <v>112</v>
      </c>
      <c r="B113" t="str">
        <f ca="1"/>
        <v>CN</v>
      </c>
      <c r="C113" t="str">
        <f ca="1"/>
        <v>Z</v>
      </c>
      <c r="D113" t="str">
        <f ca="1"/>
        <v>R-18_D</v>
      </c>
      <c r="E113">
        <f ca="1"/>
        <v>0</v>
      </c>
      <c r="F113">
        <f ca="1"/>
        <v>0</v>
      </c>
      <c r="G113">
        <f ca="1"/>
        <v>0</v>
      </c>
      <c r="H113">
        <f ca="1"/>
        <v>0</v>
      </c>
      <c r="I113">
        <f ca="1"/>
        <v>0</v>
      </c>
      <c r="J113">
        <f ca="1"/>
        <v>56</v>
      </c>
      <c r="K113">
        <f ca="1"/>
        <v>1</v>
      </c>
      <c r="L113">
        <f ca="1"/>
        <v>693218.81005892437</v>
      </c>
      <c r="M113">
        <f ca="1"/>
        <v>7574704.4340212913</v>
      </c>
      <c r="N113" t="str">
        <f ca="1"/>
        <v>R-18</v>
      </c>
      <c r="O113" t="str">
        <f ca="1"/>
        <v>R-18</v>
      </c>
      <c r="P113">
        <f ca="1"/>
        <v>1</v>
      </c>
      <c r="Q113">
        <f ca="1"/>
        <v>2.1730836727919236</v>
      </c>
      <c r="R113" s="2">
        <f ca="1"/>
        <v>7</v>
      </c>
      <c r="S113">
        <f ca="1"/>
        <v>0.64000000000000012</v>
      </c>
      <c r="T113">
        <f ca="1"/>
        <v>693222.05678410595</v>
      </c>
      <c r="U113">
        <f ca="1"/>
        <v>7574705.8894853396</v>
      </c>
    </row>
    <row r="114" spans="1:21" x14ac:dyDescent="0.25">
      <c r="A114">
        <f ca="1"/>
        <v>113</v>
      </c>
      <c r="B114" t="str">
        <f ca="1"/>
        <v>SX</v>
      </c>
      <c r="C114" t="str">
        <f ca="1"/>
        <v>Z</v>
      </c>
      <c r="D114" t="str">
        <f ca="1"/>
        <v>R-18b_U</v>
      </c>
      <c r="E114">
        <f ca="1"/>
        <v>0</v>
      </c>
      <c r="F114">
        <f ca="1"/>
        <v>0</v>
      </c>
      <c r="G114">
        <f ca="1"/>
        <v>0</v>
      </c>
      <c r="H114">
        <f ca="1"/>
        <v>0</v>
      </c>
      <c r="I114">
        <f ca="1"/>
        <v>0</v>
      </c>
      <c r="J114">
        <f ca="1"/>
        <v>57</v>
      </c>
      <c r="K114">
        <f ca="1"/>
        <v>0</v>
      </c>
      <c r="L114">
        <f ca="1"/>
        <v>692939.27515752485</v>
      </c>
      <c r="M114">
        <f ca="1"/>
        <v>7574341.3430477865</v>
      </c>
      <c r="N114" t="str">
        <f ca="1"/>
        <v>R-18b</v>
      </c>
      <c r="O114" t="str">
        <f ca="1"/>
        <v>R-18b</v>
      </c>
      <c r="P114">
        <f ca="1"/>
        <v>0</v>
      </c>
      <c r="Q114">
        <f ca="1"/>
        <v>-2.8548472494693904</v>
      </c>
      <c r="R114" s="2">
        <f ca="1"/>
        <v>1.9599999999999997</v>
      </c>
      <c r="S114">
        <f ca="1"/>
        <v>0.64000000000000012</v>
      </c>
      <c r="T114">
        <f ca="1"/>
        <v>692940.16620135703</v>
      </c>
      <c r="U114">
        <f ca="1"/>
        <v>7574340.5840742104</v>
      </c>
    </row>
    <row r="115" spans="1:21" x14ac:dyDescent="0.25">
      <c r="A115">
        <f ca="1"/>
        <v>114</v>
      </c>
      <c r="B115" t="str">
        <f ca="1"/>
        <v>SX</v>
      </c>
      <c r="C115" t="str">
        <f ca="1"/>
        <v>Z</v>
      </c>
      <c r="D115" t="str">
        <f ca="1"/>
        <v>R-18b_U</v>
      </c>
      <c r="E115">
        <f ca="1"/>
        <v>0</v>
      </c>
      <c r="F115">
        <f ca="1"/>
        <v>0</v>
      </c>
      <c r="G115">
        <f ca="1"/>
        <v>0</v>
      </c>
      <c r="H115">
        <f ca="1"/>
        <v>0</v>
      </c>
      <c r="I115">
        <f ca="1"/>
        <v>0</v>
      </c>
      <c r="J115">
        <f ca="1"/>
        <v>57</v>
      </c>
      <c r="K115">
        <f ca="1"/>
        <v>1</v>
      </c>
      <c r="L115">
        <f ca="1"/>
        <v>692939.82950828329</v>
      </c>
      <c r="M115">
        <f ca="1"/>
        <v>7574339.463075649</v>
      </c>
      <c r="N115" t="str">
        <f ca="1"/>
        <v>R-18b</v>
      </c>
      <c r="O115" t="str">
        <f ca="1"/>
        <v>R-18b</v>
      </c>
      <c r="P115">
        <f ca="1"/>
        <v>0</v>
      </c>
      <c r="Q115">
        <f ca="1"/>
        <v>-2.8548472494693904</v>
      </c>
      <c r="R115" s="2">
        <f ca="1"/>
        <v>1.9599999999999997</v>
      </c>
      <c r="S115">
        <f ca="1"/>
        <v>0.64000000000000012</v>
      </c>
      <c r="T115">
        <f ca="1"/>
        <v>692940.16620135703</v>
      </c>
      <c r="U115">
        <f ca="1"/>
        <v>7574340.5840742104</v>
      </c>
    </row>
    <row r="116" spans="1:21" x14ac:dyDescent="0.25">
      <c r="A116">
        <f ca="1"/>
        <v>115</v>
      </c>
      <c r="B116" t="str">
        <f ca="1"/>
        <v>CN</v>
      </c>
      <c r="C116" t="str">
        <f ca="1"/>
        <v>Z</v>
      </c>
      <c r="D116" t="str">
        <f ca="1"/>
        <v>R-18b_U</v>
      </c>
      <c r="E116">
        <f ca="1"/>
        <v>0</v>
      </c>
      <c r="F116">
        <f ca="1"/>
        <v>0</v>
      </c>
      <c r="G116">
        <f ca="1"/>
        <v>0</v>
      </c>
      <c r="H116">
        <f ca="1"/>
        <v>0</v>
      </c>
      <c r="I116">
        <f ca="1"/>
        <v>0</v>
      </c>
      <c r="J116">
        <f ca="1"/>
        <v>58</v>
      </c>
      <c r="K116">
        <f ca="1"/>
        <v>0</v>
      </c>
      <c r="L116">
        <f ca="1"/>
        <v>692940.16620135703</v>
      </c>
      <c r="M116">
        <f ca="1"/>
        <v>7574340.5840742104</v>
      </c>
      <c r="N116" t="str">
        <f ca="1"/>
        <v>R-18b</v>
      </c>
      <c r="O116" t="str">
        <f ca="1"/>
        <v>R-18b</v>
      </c>
      <c r="P116">
        <f ca="1"/>
        <v>0</v>
      </c>
      <c r="Q116">
        <f ca="1"/>
        <v>-2.8548472494693904</v>
      </c>
      <c r="R116" s="2">
        <f ca="1"/>
        <v>1.9599999999999997</v>
      </c>
      <c r="S116">
        <f ca="1"/>
        <v>0.64000000000000012</v>
      </c>
      <c r="T116">
        <f ca="1"/>
        <v>692940.16620135703</v>
      </c>
      <c r="U116">
        <f ca="1"/>
        <v>7574340.5840742104</v>
      </c>
    </row>
    <row r="117" spans="1:21" x14ac:dyDescent="0.25">
      <c r="A117">
        <f ca="1"/>
        <v>116</v>
      </c>
      <c r="B117" t="str">
        <f ca="1"/>
        <v>CN</v>
      </c>
      <c r="C117" t="str">
        <f ca="1"/>
        <v>Z</v>
      </c>
      <c r="D117" t="str">
        <f ca="1"/>
        <v>R-18b_U</v>
      </c>
      <c r="E117">
        <f ca="1"/>
        <v>0</v>
      </c>
      <c r="F117">
        <f ca="1"/>
        <v>0</v>
      </c>
      <c r="G117">
        <f ca="1"/>
        <v>0</v>
      </c>
      <c r="H117">
        <f ca="1"/>
        <v>0</v>
      </c>
      <c r="I117">
        <f ca="1"/>
        <v>0</v>
      </c>
      <c r="J117">
        <f ca="1"/>
        <v>58</v>
      </c>
      <c r="K117">
        <f ca="1"/>
        <v>1</v>
      </c>
      <c r="L117">
        <f ca="1"/>
        <v>692939.82950828329</v>
      </c>
      <c r="M117">
        <f ca="1"/>
        <v>7574339.463075649</v>
      </c>
      <c r="N117" t="str">
        <f ca="1"/>
        <v>R-18b</v>
      </c>
      <c r="O117" t="str">
        <f ca="1"/>
        <v>R-18b</v>
      </c>
      <c r="P117">
        <f ca="1"/>
        <v>0</v>
      </c>
      <c r="Q117">
        <f ca="1"/>
        <v>-2.8548472494693904</v>
      </c>
      <c r="R117" s="2">
        <f ca="1"/>
        <v>1.9599999999999997</v>
      </c>
      <c r="S117">
        <f ca="1"/>
        <v>0.64000000000000012</v>
      </c>
      <c r="T117">
        <f ca="1"/>
        <v>692940.16620135703</v>
      </c>
      <c r="U117">
        <f ca="1"/>
        <v>7574340.5840742104</v>
      </c>
    </row>
    <row r="118" spans="1:21" x14ac:dyDescent="0.25">
      <c r="A118">
        <f ca="1"/>
        <v>117</v>
      </c>
      <c r="B118" t="str">
        <f ca="1"/>
        <v>SX</v>
      </c>
      <c r="C118" t="str">
        <f ca="1"/>
        <v>Z</v>
      </c>
      <c r="D118" t="str">
        <f ca="1"/>
        <v>R-18b_D</v>
      </c>
      <c r="E118">
        <f ca="1"/>
        <v>0</v>
      </c>
      <c r="F118">
        <f ca="1"/>
        <v>0</v>
      </c>
      <c r="G118">
        <f ca="1"/>
        <v>0</v>
      </c>
      <c r="H118">
        <f ca="1"/>
        <v>0</v>
      </c>
      <c r="I118">
        <f ca="1"/>
        <v>0</v>
      </c>
      <c r="J118">
        <f ca="1"/>
        <v>59</v>
      </c>
      <c r="K118">
        <f ca="1"/>
        <v>0</v>
      </c>
      <c r="L118">
        <f ca="1"/>
        <v>692999.01224616915</v>
      </c>
      <c r="M118">
        <f ca="1"/>
        <v>7574356.9143957943</v>
      </c>
      <c r="N118" t="str">
        <f ca="1"/>
        <v>R-18b</v>
      </c>
      <c r="O118" t="str">
        <f ca="1"/>
        <v>R-18b</v>
      </c>
      <c r="P118">
        <f ca="1"/>
        <v>1</v>
      </c>
      <c r="Q118">
        <f ca="1"/>
        <v>0.28674540412040317</v>
      </c>
      <c r="R118" s="2">
        <f ca="1"/>
        <v>1.9599999999999997</v>
      </c>
      <c r="S118">
        <f ca="1"/>
        <v>0.64000000000000012</v>
      </c>
      <c r="T118">
        <f ca="1"/>
        <v>692998.12120233697</v>
      </c>
      <c r="U118">
        <f ca="1"/>
        <v>7574357.6733693704</v>
      </c>
    </row>
    <row r="119" spans="1:21" x14ac:dyDescent="0.25">
      <c r="A119">
        <f ca="1"/>
        <v>118</v>
      </c>
      <c r="B119" t="str">
        <f ca="1"/>
        <v>SX</v>
      </c>
      <c r="C119" t="str">
        <f ca="1"/>
        <v>Z</v>
      </c>
      <c r="D119" t="str">
        <f ca="1"/>
        <v>R-18b_D</v>
      </c>
      <c r="E119">
        <f ca="1"/>
        <v>0</v>
      </c>
      <c r="F119">
        <f ca="1"/>
        <v>0</v>
      </c>
      <c r="G119">
        <f ca="1"/>
        <v>0</v>
      </c>
      <c r="H119">
        <f ca="1"/>
        <v>0</v>
      </c>
      <c r="I119">
        <f ca="1"/>
        <v>0</v>
      </c>
      <c r="J119">
        <f ca="1"/>
        <v>59</v>
      </c>
      <c r="K119">
        <f ca="1"/>
        <v>1</v>
      </c>
      <c r="L119">
        <f ca="1"/>
        <v>692998.45789541071</v>
      </c>
      <c r="M119">
        <f ca="1"/>
        <v>7574358.7943679318</v>
      </c>
      <c r="N119" t="str">
        <f ca="1"/>
        <v>R-18b</v>
      </c>
      <c r="O119" t="str">
        <f ca="1"/>
        <v>R-18b</v>
      </c>
      <c r="P119">
        <f ca="1"/>
        <v>1</v>
      </c>
      <c r="Q119">
        <f ca="1"/>
        <v>0.28674540412040317</v>
      </c>
      <c r="R119" s="2">
        <f ca="1"/>
        <v>1.9599999999999997</v>
      </c>
      <c r="S119">
        <f ca="1"/>
        <v>0.64000000000000012</v>
      </c>
      <c r="T119">
        <f ca="1"/>
        <v>692998.12120233697</v>
      </c>
      <c r="U119">
        <f ca="1"/>
        <v>7574357.6733693704</v>
      </c>
    </row>
    <row r="120" spans="1:21" x14ac:dyDescent="0.25">
      <c r="A120">
        <f ca="1"/>
        <v>119</v>
      </c>
      <c r="B120" t="str">
        <f ca="1"/>
        <v>CN</v>
      </c>
      <c r="C120" t="str">
        <f ca="1"/>
        <v>Z</v>
      </c>
      <c r="D120" t="str">
        <f ca="1"/>
        <v>R-18b_D</v>
      </c>
      <c r="E120">
        <f ca="1"/>
        <v>0</v>
      </c>
      <c r="F120">
        <f ca="1"/>
        <v>0</v>
      </c>
      <c r="G120">
        <f ca="1"/>
        <v>0</v>
      </c>
      <c r="H120">
        <f ca="1"/>
        <v>0</v>
      </c>
      <c r="I120">
        <f ca="1"/>
        <v>0</v>
      </c>
      <c r="J120">
        <f ca="1"/>
        <v>60</v>
      </c>
      <c r="K120">
        <f ca="1"/>
        <v>0</v>
      </c>
      <c r="L120">
        <f ca="1"/>
        <v>692998.12120233697</v>
      </c>
      <c r="M120">
        <f ca="1"/>
        <v>7574357.6733693704</v>
      </c>
      <c r="N120" t="str">
        <f ca="1"/>
        <v>R-18b</v>
      </c>
      <c r="O120" t="str">
        <f ca="1"/>
        <v>R-18b</v>
      </c>
      <c r="P120">
        <f ca="1"/>
        <v>1</v>
      </c>
      <c r="Q120">
        <f ca="1"/>
        <v>0.28674540412040317</v>
      </c>
      <c r="R120" s="2">
        <f ca="1"/>
        <v>1.9599999999999997</v>
      </c>
      <c r="S120">
        <f ca="1"/>
        <v>0.64000000000000012</v>
      </c>
      <c r="T120">
        <f ca="1"/>
        <v>692998.12120233697</v>
      </c>
      <c r="U120">
        <f ca="1"/>
        <v>7574357.6733693704</v>
      </c>
    </row>
    <row r="121" spans="1:21" x14ac:dyDescent="0.25">
      <c r="A121">
        <f ca="1"/>
        <v>120</v>
      </c>
      <c r="B121" t="str">
        <f ca="1"/>
        <v>CN</v>
      </c>
      <c r="C121" t="str">
        <f ca="1"/>
        <v>Z</v>
      </c>
      <c r="D121" t="str">
        <f ca="1"/>
        <v>R-18b_D</v>
      </c>
      <c r="E121">
        <f ca="1"/>
        <v>0</v>
      </c>
      <c r="F121">
        <f ca="1"/>
        <v>0</v>
      </c>
      <c r="G121">
        <f ca="1"/>
        <v>0</v>
      </c>
      <c r="H121">
        <f ca="1"/>
        <v>0</v>
      </c>
      <c r="I121">
        <f ca="1"/>
        <v>0</v>
      </c>
      <c r="J121">
        <f ca="1"/>
        <v>60</v>
      </c>
      <c r="K121">
        <f ca="1"/>
        <v>1</v>
      </c>
      <c r="L121">
        <f ca="1"/>
        <v>692998.45789541071</v>
      </c>
      <c r="M121">
        <f ca="1"/>
        <v>7574358.7943679318</v>
      </c>
      <c r="N121" t="str">
        <f ca="1"/>
        <v>R-18b</v>
      </c>
      <c r="O121" t="str">
        <f ca="1"/>
        <v>R-18b</v>
      </c>
      <c r="P121">
        <f ca="1"/>
        <v>1</v>
      </c>
      <c r="Q121">
        <f ca="1"/>
        <v>0.28674540412040317</v>
      </c>
      <c r="R121" s="2">
        <f ca="1"/>
        <v>1.9599999999999997</v>
      </c>
      <c r="S121">
        <f ca="1"/>
        <v>0.64000000000000012</v>
      </c>
      <c r="T121">
        <f ca="1"/>
        <v>692998.12120233697</v>
      </c>
      <c r="U121">
        <f ca="1"/>
        <v>7574357.6733693704</v>
      </c>
    </row>
    <row r="122" spans="1:21" x14ac:dyDescent="0.25">
      <c r="A122">
        <f ca="1"/>
        <v>121</v>
      </c>
      <c r="B122" t="str">
        <f ca="1"/>
        <v>SX</v>
      </c>
      <c r="C122" t="str">
        <f ca="1"/>
        <v>Z</v>
      </c>
      <c r="D122" t="str">
        <f ca="1"/>
        <v>R-19_U</v>
      </c>
      <c r="E122">
        <f ca="1"/>
        <v>0</v>
      </c>
      <c r="F122">
        <f ca="1"/>
        <v>0</v>
      </c>
      <c r="G122">
        <f ca="1"/>
        <v>0</v>
      </c>
      <c r="H122">
        <f ca="1"/>
        <v>0</v>
      </c>
      <c r="I122">
        <f ca="1"/>
        <v>0</v>
      </c>
      <c r="J122">
        <f ca="1"/>
        <v>61</v>
      </c>
      <c r="K122">
        <f ca="1"/>
        <v>0</v>
      </c>
      <c r="L122">
        <f ca="1"/>
        <v>693375.51833947795</v>
      </c>
      <c r="M122">
        <f ca="1"/>
        <v>7574869.0236983197</v>
      </c>
      <c r="N122" t="str">
        <f ca="1"/>
        <v>R-19</v>
      </c>
      <c r="O122" t="str">
        <f ca="1"/>
        <v>R-19</v>
      </c>
      <c r="P122">
        <f ca="1"/>
        <v>0</v>
      </c>
      <c r="Q122">
        <f ca="1"/>
        <v>-0.89544895676575109</v>
      </c>
      <c r="R122" s="2">
        <f ca="1"/>
        <v>4.7319999999999993</v>
      </c>
      <c r="S122">
        <f ca="1"/>
        <v>0.64000000000000012</v>
      </c>
      <c r="T122">
        <f ca="1"/>
        <v>693376.96487060096</v>
      </c>
      <c r="U122">
        <f ca="1"/>
        <v>7574871.0023604203</v>
      </c>
    </row>
    <row r="123" spans="1:21" x14ac:dyDescent="0.25">
      <c r="A123">
        <f ca="1"/>
        <v>122</v>
      </c>
      <c r="B123" t="str">
        <f ca="1"/>
        <v>SX</v>
      </c>
      <c r="C123" t="str">
        <f ca="1"/>
        <v>Z</v>
      </c>
      <c r="D123" t="str">
        <f ca="1"/>
        <v>R-19_U</v>
      </c>
      <c r="E123">
        <f ca="1"/>
        <v>0</v>
      </c>
      <c r="F123">
        <f ca="1"/>
        <v>0</v>
      </c>
      <c r="G123">
        <f ca="1"/>
        <v>0</v>
      </c>
      <c r="H123">
        <f ca="1"/>
        <v>0</v>
      </c>
      <c r="I123">
        <f ca="1"/>
        <v>0</v>
      </c>
      <c r="J123">
        <f ca="1"/>
        <v>61</v>
      </c>
      <c r="K123">
        <f ca="1"/>
        <v>1</v>
      </c>
      <c r="L123">
        <f ca="1"/>
        <v>693379.21161736967</v>
      </c>
      <c r="M123">
        <f ca="1"/>
        <v>7574871.9819955342</v>
      </c>
      <c r="N123" t="str">
        <f ca="1"/>
        <v>R-19</v>
      </c>
      <c r="O123" t="str">
        <f ca="1"/>
        <v>R-19</v>
      </c>
      <c r="P123">
        <f ca="1"/>
        <v>0</v>
      </c>
      <c r="Q123">
        <f ca="1"/>
        <v>-0.89544895676575109</v>
      </c>
      <c r="R123" s="2">
        <f ca="1"/>
        <v>4.7319999999999993</v>
      </c>
      <c r="S123">
        <f ca="1"/>
        <v>0.64000000000000012</v>
      </c>
      <c r="T123">
        <f ca="1"/>
        <v>693376.96487060096</v>
      </c>
      <c r="U123">
        <f ca="1"/>
        <v>7574871.0023604203</v>
      </c>
    </row>
    <row r="124" spans="1:21" x14ac:dyDescent="0.25">
      <c r="A124">
        <f ca="1"/>
        <v>123</v>
      </c>
      <c r="B124" t="str">
        <f ca="1"/>
        <v>CN</v>
      </c>
      <c r="C124" t="str">
        <f ca="1"/>
        <v>Z</v>
      </c>
      <c r="D124" t="str">
        <f ca="1"/>
        <v>R-19_U</v>
      </c>
      <c r="E124">
        <f ca="1"/>
        <v>0</v>
      </c>
      <c r="F124">
        <f ca="1"/>
        <v>0</v>
      </c>
      <c r="G124">
        <f ca="1"/>
        <v>0</v>
      </c>
      <c r="H124">
        <f ca="1"/>
        <v>0</v>
      </c>
      <c r="I124">
        <f ca="1"/>
        <v>0</v>
      </c>
      <c r="J124">
        <f ca="1"/>
        <v>62</v>
      </c>
      <c r="K124">
        <f ca="1"/>
        <v>0</v>
      </c>
      <c r="L124">
        <f ca="1"/>
        <v>693376.96487060096</v>
      </c>
      <c r="M124">
        <f ca="1"/>
        <v>7574871.0023604203</v>
      </c>
      <c r="N124" t="str">
        <f ca="1"/>
        <v>R-19</v>
      </c>
      <c r="O124" t="str">
        <f ca="1"/>
        <v>R-19</v>
      </c>
      <c r="P124">
        <f ca="1"/>
        <v>0</v>
      </c>
      <c r="Q124">
        <f ca="1"/>
        <v>-0.89544895676575109</v>
      </c>
      <c r="R124" s="2">
        <f ca="1"/>
        <v>4.7319999999999993</v>
      </c>
      <c r="S124">
        <f ca="1"/>
        <v>0.64000000000000012</v>
      </c>
      <c r="T124">
        <f ca="1"/>
        <v>693376.96487060096</v>
      </c>
      <c r="U124">
        <f ca="1"/>
        <v>7574871.0023604203</v>
      </c>
    </row>
    <row r="125" spans="1:21" x14ac:dyDescent="0.25">
      <c r="A125">
        <f ca="1"/>
        <v>124</v>
      </c>
      <c r="B125" t="str">
        <f ca="1"/>
        <v>CN</v>
      </c>
      <c r="C125" t="str">
        <f ca="1"/>
        <v>Z</v>
      </c>
      <c r="D125" t="str">
        <f ca="1"/>
        <v>R-19_U</v>
      </c>
      <c r="E125">
        <f ca="1"/>
        <v>0</v>
      </c>
      <c r="F125">
        <f ca="1"/>
        <v>0</v>
      </c>
      <c r="G125">
        <f ca="1"/>
        <v>0</v>
      </c>
      <c r="H125">
        <f ca="1"/>
        <v>0</v>
      </c>
      <c r="I125">
        <f ca="1"/>
        <v>0</v>
      </c>
      <c r="J125">
        <f ca="1"/>
        <v>62</v>
      </c>
      <c r="K125">
        <f ca="1"/>
        <v>1</v>
      </c>
      <c r="L125">
        <f ca="1"/>
        <v>693379.21161736967</v>
      </c>
      <c r="M125">
        <f ca="1"/>
        <v>7574871.9819955342</v>
      </c>
      <c r="N125" t="str">
        <f ca="1"/>
        <v>R-19</v>
      </c>
      <c r="O125" t="str">
        <f ca="1"/>
        <v>R-19</v>
      </c>
      <c r="P125">
        <f ca="1"/>
        <v>0</v>
      </c>
      <c r="Q125">
        <f ca="1"/>
        <v>-0.89544895676575109</v>
      </c>
      <c r="R125" s="2">
        <f ca="1"/>
        <v>4.7319999999999993</v>
      </c>
      <c r="S125">
        <f ca="1"/>
        <v>0.64000000000000012</v>
      </c>
      <c r="T125">
        <f ca="1"/>
        <v>693376.96487060096</v>
      </c>
      <c r="U125">
        <f ca="1"/>
        <v>7574871.0023604203</v>
      </c>
    </row>
    <row r="126" spans="1:21" x14ac:dyDescent="0.25">
      <c r="A126">
        <f ca="1"/>
        <v>125</v>
      </c>
      <c r="B126" t="str">
        <f ca="1"/>
        <v>SX</v>
      </c>
      <c r="C126" t="str">
        <f ca="1"/>
        <v>Z</v>
      </c>
      <c r="D126" t="str">
        <f ca="1"/>
        <v>R-19_D</v>
      </c>
      <c r="E126">
        <f ca="1"/>
        <v>0</v>
      </c>
      <c r="F126">
        <f ca="1"/>
        <v>0</v>
      </c>
      <c r="G126">
        <f ca="1"/>
        <v>0</v>
      </c>
      <c r="H126">
        <f ca="1"/>
        <v>0</v>
      </c>
      <c r="I126">
        <f ca="1"/>
        <v>0</v>
      </c>
      <c r="J126">
        <f ca="1"/>
        <v>63</v>
      </c>
      <c r="K126">
        <f ca="1"/>
        <v>0</v>
      </c>
      <c r="L126">
        <f ca="1"/>
        <v>693363.45826845907</v>
      </c>
      <c r="M126">
        <f ca="1"/>
        <v>7574891.6492199609</v>
      </c>
      <c r="N126" t="str">
        <f ca="1"/>
        <v>R-19</v>
      </c>
      <c r="O126" t="str">
        <f ca="1"/>
        <v>R-19</v>
      </c>
      <c r="P126">
        <f ca="1"/>
        <v>1</v>
      </c>
      <c r="Q126">
        <f ca="1"/>
        <v>2.2461436968240411</v>
      </c>
      <c r="R126" s="2">
        <f ca="1"/>
        <v>4.7319999999999993</v>
      </c>
      <c r="S126">
        <f ca="1"/>
        <v>0.64000000000000012</v>
      </c>
      <c r="T126">
        <f ca="1"/>
        <v>693362.01173733606</v>
      </c>
      <c r="U126">
        <f ca="1"/>
        <v>7574889.6705578603</v>
      </c>
    </row>
    <row r="127" spans="1:21" x14ac:dyDescent="0.25">
      <c r="A127">
        <f ca="1"/>
        <v>126</v>
      </c>
      <c r="B127" t="str">
        <f ca="1"/>
        <v>SX</v>
      </c>
      <c r="C127" t="str">
        <f ca="1"/>
        <v>Z</v>
      </c>
      <c r="D127" t="str">
        <f ca="1"/>
        <v>R-19_D</v>
      </c>
      <c r="E127">
        <f ca="1"/>
        <v>0</v>
      </c>
      <c r="F127">
        <f ca="1"/>
        <v>0</v>
      </c>
      <c r="G127">
        <f ca="1"/>
        <v>0</v>
      </c>
      <c r="H127">
        <f ca="1"/>
        <v>0</v>
      </c>
      <c r="I127">
        <f ca="1"/>
        <v>0</v>
      </c>
      <c r="J127">
        <f ca="1"/>
        <v>63</v>
      </c>
      <c r="K127">
        <f ca="1"/>
        <v>1</v>
      </c>
      <c r="L127">
        <f ca="1"/>
        <v>693359.76499056735</v>
      </c>
      <c r="M127">
        <f ca="1"/>
        <v>7574888.6909227464</v>
      </c>
      <c r="N127" t="str">
        <f ca="1"/>
        <v>R-19</v>
      </c>
      <c r="O127" t="str">
        <f ca="1"/>
        <v>R-19</v>
      </c>
      <c r="P127">
        <f ca="1"/>
        <v>1</v>
      </c>
      <c r="Q127">
        <f ca="1"/>
        <v>2.2461436968240411</v>
      </c>
      <c r="R127" s="2">
        <f ca="1"/>
        <v>4.7319999999999993</v>
      </c>
      <c r="S127">
        <f ca="1"/>
        <v>0.64000000000000012</v>
      </c>
      <c r="T127">
        <f ca="1"/>
        <v>693362.01173733606</v>
      </c>
      <c r="U127">
        <f ca="1"/>
        <v>7574889.6705578603</v>
      </c>
    </row>
    <row r="128" spans="1:21" x14ac:dyDescent="0.25">
      <c r="A128">
        <f ca="1"/>
        <v>127</v>
      </c>
      <c r="B128" t="str">
        <f ca="1"/>
        <v>CN</v>
      </c>
      <c r="C128" t="str">
        <f ca="1"/>
        <v>Z</v>
      </c>
      <c r="D128" t="str">
        <f ca="1"/>
        <v>R-19_D</v>
      </c>
      <c r="E128">
        <f ca="1"/>
        <v>0</v>
      </c>
      <c r="F128">
        <f ca="1"/>
        <v>0</v>
      </c>
      <c r="G128">
        <f ca="1"/>
        <v>0</v>
      </c>
      <c r="H128">
        <f ca="1"/>
        <v>0</v>
      </c>
      <c r="I128">
        <f ca="1"/>
        <v>0</v>
      </c>
      <c r="J128">
        <f ca="1"/>
        <v>64</v>
      </c>
      <c r="K128">
        <f ca="1"/>
        <v>0</v>
      </c>
      <c r="L128">
        <f ca="1"/>
        <v>693362.01173733606</v>
      </c>
      <c r="M128">
        <f ca="1"/>
        <v>7574889.6705578603</v>
      </c>
      <c r="N128" t="str">
        <f ca="1"/>
        <v>R-19</v>
      </c>
      <c r="O128" t="str">
        <f ca="1"/>
        <v>R-19</v>
      </c>
      <c r="P128">
        <f ca="1"/>
        <v>1</v>
      </c>
      <c r="Q128">
        <f ca="1"/>
        <v>2.2461436968240411</v>
      </c>
      <c r="R128" s="2">
        <f ca="1"/>
        <v>4.7319999999999993</v>
      </c>
      <c r="S128">
        <f ca="1"/>
        <v>0.64000000000000012</v>
      </c>
      <c r="T128">
        <f ca="1"/>
        <v>693362.01173733606</v>
      </c>
      <c r="U128">
        <f ca="1"/>
        <v>7574889.6705578603</v>
      </c>
    </row>
    <row r="129" spans="1:21" x14ac:dyDescent="0.25">
      <c r="A129">
        <f ca="1"/>
        <v>128</v>
      </c>
      <c r="B129" t="str">
        <f ca="1"/>
        <v>CN</v>
      </c>
      <c r="C129" t="str">
        <f ca="1"/>
        <v>Z</v>
      </c>
      <c r="D129" t="str">
        <f ca="1"/>
        <v>R-19_D</v>
      </c>
      <c r="E129">
        <f ca="1"/>
        <v>0</v>
      </c>
      <c r="F129">
        <f ca="1"/>
        <v>0</v>
      </c>
      <c r="G129">
        <f ca="1"/>
        <v>0</v>
      </c>
      <c r="H129">
        <f ca="1"/>
        <v>0</v>
      </c>
      <c r="I129">
        <f ca="1"/>
        <v>0</v>
      </c>
      <c r="J129">
        <f ca="1"/>
        <v>64</v>
      </c>
      <c r="K129">
        <f ca="1"/>
        <v>1</v>
      </c>
      <c r="L129">
        <f ca="1"/>
        <v>693359.76499056735</v>
      </c>
      <c r="M129">
        <f ca="1"/>
        <v>7574888.6909227464</v>
      </c>
      <c r="N129" t="str">
        <f ca="1"/>
        <v>R-19</v>
      </c>
      <c r="O129" t="str">
        <f ca="1"/>
        <v>R-19</v>
      </c>
      <c r="P129">
        <f ca="1"/>
        <v>1</v>
      </c>
      <c r="Q129">
        <f ca="1"/>
        <v>2.2461436968240411</v>
      </c>
      <c r="R129" s="2">
        <f ca="1"/>
        <v>4.7319999999999993</v>
      </c>
      <c r="S129">
        <f ca="1"/>
        <v>0.64000000000000012</v>
      </c>
      <c r="T129">
        <f ca="1"/>
        <v>693362.01173733606</v>
      </c>
      <c r="U129">
        <f ca="1"/>
        <v>7574889.6705578603</v>
      </c>
    </row>
    <row r="130" spans="1:21" x14ac:dyDescent="0.25">
      <c r="A130">
        <f ca="1"/>
        <v>129</v>
      </c>
      <c r="B130" t="str">
        <f ca="1"/>
        <v>SX</v>
      </c>
      <c r="C130" t="str">
        <f ca="1"/>
        <v>Z</v>
      </c>
      <c r="D130" t="str">
        <f ca="1"/>
        <v>R-2_U</v>
      </c>
      <c r="E130">
        <f ca="1"/>
        <v>0</v>
      </c>
      <c r="F130">
        <f ca="1"/>
        <v>0</v>
      </c>
      <c r="G130">
        <f ca="1"/>
        <v>0</v>
      </c>
      <c r="H130">
        <f ca="1"/>
        <v>0</v>
      </c>
      <c r="I130">
        <f ca="1"/>
        <v>0</v>
      </c>
      <c r="J130">
        <f ca="1"/>
        <v>65</v>
      </c>
      <c r="K130">
        <f ca="1"/>
        <v>0</v>
      </c>
      <c r="L130">
        <f ca="1"/>
        <v>687646.92158644134</v>
      </c>
      <c r="M130">
        <f ca="1"/>
        <v>7566197.3196410127</v>
      </c>
      <c r="N130" t="str">
        <f ca="1"/>
        <v>R-2</v>
      </c>
      <c r="O130" t="str">
        <f ca="1"/>
        <v>R-2</v>
      </c>
      <c r="P130">
        <f ca="1"/>
        <v>0</v>
      </c>
      <c r="Q130">
        <f ca="1"/>
        <v>-1.4067080314771552</v>
      </c>
      <c r="R130" s="2">
        <f ca="1"/>
        <v>2.2119999999999997</v>
      </c>
      <c r="S130">
        <f ca="1"/>
        <v>0.64000000000000012</v>
      </c>
      <c r="T130">
        <f ca="1"/>
        <v>687647.90818442998</v>
      </c>
      <c r="U130">
        <f ca="1"/>
        <v>7566198.13171269</v>
      </c>
    </row>
    <row r="131" spans="1:21" x14ac:dyDescent="0.25">
      <c r="A131">
        <f ca="1"/>
        <v>130</v>
      </c>
      <c r="B131" t="str">
        <f ca="1"/>
        <v>SX</v>
      </c>
      <c r="C131" t="str">
        <f ca="1"/>
        <v>Z</v>
      </c>
      <c r="D131" t="str">
        <f ca="1"/>
        <v>R-2_U</v>
      </c>
      <c r="E131">
        <f ca="1"/>
        <v>0</v>
      </c>
      <c r="F131">
        <f ca="1"/>
        <v>0</v>
      </c>
      <c r="G131">
        <f ca="1"/>
        <v>0</v>
      </c>
      <c r="H131">
        <f ca="1"/>
        <v>0</v>
      </c>
      <c r="I131">
        <f ca="1"/>
        <v>0</v>
      </c>
      <c r="J131">
        <f ca="1"/>
        <v>65</v>
      </c>
      <c r="K131">
        <f ca="1"/>
        <v>1</v>
      </c>
      <c r="L131">
        <f ca="1"/>
        <v>687649.10387418268</v>
      </c>
      <c r="M131">
        <f ca="1"/>
        <v>7566197.680977718</v>
      </c>
      <c r="N131" t="str">
        <f ca="1"/>
        <v>R-2</v>
      </c>
      <c r="O131" t="str">
        <f ca="1"/>
        <v>R-2</v>
      </c>
      <c r="P131">
        <f ca="1"/>
        <v>0</v>
      </c>
      <c r="Q131">
        <f ca="1"/>
        <v>-1.4067080314771552</v>
      </c>
      <c r="R131" s="2">
        <f ca="1"/>
        <v>2.2119999999999997</v>
      </c>
      <c r="S131">
        <f ca="1"/>
        <v>0.64000000000000012</v>
      </c>
      <c r="T131">
        <f ca="1"/>
        <v>687647.90818442998</v>
      </c>
      <c r="U131">
        <f ca="1"/>
        <v>7566198.13171269</v>
      </c>
    </row>
    <row r="132" spans="1:21" x14ac:dyDescent="0.25">
      <c r="A132">
        <f ca="1"/>
        <v>131</v>
      </c>
      <c r="B132" t="str">
        <f ca="1"/>
        <v>CN</v>
      </c>
      <c r="C132" t="str">
        <f ca="1"/>
        <v>Z</v>
      </c>
      <c r="D132" t="str">
        <f ca="1"/>
        <v>R-2_U</v>
      </c>
      <c r="E132">
        <f ca="1"/>
        <v>0</v>
      </c>
      <c r="F132">
        <f ca="1"/>
        <v>0</v>
      </c>
      <c r="G132">
        <f ca="1"/>
        <v>0</v>
      </c>
      <c r="H132">
        <f ca="1"/>
        <v>0</v>
      </c>
      <c r="I132">
        <f ca="1"/>
        <v>0</v>
      </c>
      <c r="J132">
        <f ca="1"/>
        <v>66</v>
      </c>
      <c r="K132">
        <f ca="1"/>
        <v>0</v>
      </c>
      <c r="L132">
        <f ca="1"/>
        <v>687647.90818442998</v>
      </c>
      <c r="M132">
        <f ca="1"/>
        <v>7566198.13171269</v>
      </c>
      <c r="N132" t="str">
        <f ca="1"/>
        <v>R-2</v>
      </c>
      <c r="O132" t="str">
        <f ca="1"/>
        <v>R-2</v>
      </c>
      <c r="P132">
        <f ca="1"/>
        <v>0</v>
      </c>
      <c r="Q132">
        <f ca="1"/>
        <v>-1.4067080314771552</v>
      </c>
      <c r="R132" s="2">
        <f ca="1"/>
        <v>2.2119999999999997</v>
      </c>
      <c r="S132">
        <f ca="1"/>
        <v>0.64000000000000012</v>
      </c>
      <c r="T132">
        <f ca="1"/>
        <v>687647.90818442998</v>
      </c>
      <c r="U132">
        <f ca="1"/>
        <v>7566198.13171269</v>
      </c>
    </row>
    <row r="133" spans="1:21" x14ac:dyDescent="0.25">
      <c r="A133">
        <f ca="1"/>
        <v>132</v>
      </c>
      <c r="B133" t="str">
        <f ca="1"/>
        <v>CN</v>
      </c>
      <c r="C133" t="str">
        <f ca="1"/>
        <v>Z</v>
      </c>
      <c r="D133" t="str">
        <f ca="1"/>
        <v>R-2_U</v>
      </c>
      <c r="E133">
        <f ca="1"/>
        <v>0</v>
      </c>
      <c r="F133">
        <f ca="1"/>
        <v>0</v>
      </c>
      <c r="G133">
        <f ca="1"/>
        <v>0</v>
      </c>
      <c r="H133">
        <f ca="1"/>
        <v>0</v>
      </c>
      <c r="I133">
        <f ca="1"/>
        <v>0</v>
      </c>
      <c r="J133">
        <f ca="1"/>
        <v>66</v>
      </c>
      <c r="K133">
        <f ca="1"/>
        <v>1</v>
      </c>
      <c r="L133">
        <f ca="1"/>
        <v>687649.10387418268</v>
      </c>
      <c r="M133">
        <f ca="1"/>
        <v>7566197.680977718</v>
      </c>
      <c r="N133" t="str">
        <f ca="1"/>
        <v>R-2</v>
      </c>
      <c r="O133" t="str">
        <f ca="1"/>
        <v>R-2</v>
      </c>
      <c r="P133">
        <f ca="1"/>
        <v>0</v>
      </c>
      <c r="Q133">
        <f ca="1"/>
        <v>-1.4067080314771552</v>
      </c>
      <c r="R133" s="2">
        <f ca="1"/>
        <v>2.2119999999999997</v>
      </c>
      <c r="S133">
        <f ca="1"/>
        <v>0.64000000000000012</v>
      </c>
      <c r="T133">
        <f ca="1"/>
        <v>687647.90818442998</v>
      </c>
      <c r="U133">
        <f ca="1"/>
        <v>7566198.13171269</v>
      </c>
    </row>
    <row r="134" spans="1:21" x14ac:dyDescent="0.25">
      <c r="A134">
        <f ca="1"/>
        <v>133</v>
      </c>
      <c r="B134" t="str">
        <f ca="1"/>
        <v>SX</v>
      </c>
      <c r="C134" t="str">
        <f ca="1"/>
        <v>Z</v>
      </c>
      <c r="D134" t="str">
        <f ca="1"/>
        <v>R-2_D</v>
      </c>
      <c r="E134">
        <f ca="1"/>
        <v>0</v>
      </c>
      <c r="F134">
        <f ca="1"/>
        <v>0</v>
      </c>
      <c r="G134">
        <f ca="1"/>
        <v>0</v>
      </c>
      <c r="H134">
        <f ca="1"/>
        <v>0</v>
      </c>
      <c r="I134">
        <f ca="1"/>
        <v>0</v>
      </c>
      <c r="J134">
        <f ca="1"/>
        <v>67</v>
      </c>
      <c r="K134">
        <f ca="1"/>
        <v>0</v>
      </c>
      <c r="L134">
        <f ca="1"/>
        <v>687640.3535121826</v>
      </c>
      <c r="M134">
        <f ca="1"/>
        <v>7566250.5286609977</v>
      </c>
      <c r="N134" t="str">
        <f ca="1"/>
        <v>R-2</v>
      </c>
      <c r="O134" t="str">
        <f ca="1"/>
        <v>R-2</v>
      </c>
      <c r="P134">
        <f ca="1"/>
        <v>1</v>
      </c>
      <c r="Q134">
        <f ca="1"/>
        <v>1.7348846221126388</v>
      </c>
      <c r="R134" s="2">
        <f ca="1"/>
        <v>2.2119999999999997</v>
      </c>
      <c r="S134">
        <f ca="1"/>
        <v>0.64000000000000012</v>
      </c>
      <c r="T134">
        <f ca="1"/>
        <v>687639.36691419396</v>
      </c>
      <c r="U134">
        <f ca="1"/>
        <v>7566249.7165893205</v>
      </c>
    </row>
    <row r="135" spans="1:21" x14ac:dyDescent="0.25">
      <c r="A135">
        <f ca="1"/>
        <v>134</v>
      </c>
      <c r="B135" t="str">
        <f ca="1"/>
        <v>SX</v>
      </c>
      <c r="C135" t="str">
        <f ca="1"/>
        <v>Z</v>
      </c>
      <c r="D135" t="str">
        <f ca="1"/>
        <v>R-2_D</v>
      </c>
      <c r="E135">
        <f ca="1"/>
        <v>0</v>
      </c>
      <c r="F135">
        <f ca="1"/>
        <v>0</v>
      </c>
      <c r="G135">
        <f ca="1"/>
        <v>0</v>
      </c>
      <c r="H135">
        <f ca="1"/>
        <v>0</v>
      </c>
      <c r="I135">
        <f ca="1"/>
        <v>0</v>
      </c>
      <c r="J135">
        <f ca="1"/>
        <v>67</v>
      </c>
      <c r="K135">
        <f ca="1"/>
        <v>1</v>
      </c>
      <c r="L135">
        <f ca="1"/>
        <v>687638.17122444126</v>
      </c>
      <c r="M135">
        <f ca="1"/>
        <v>7566250.1673242925</v>
      </c>
      <c r="N135" t="str">
        <f ca="1"/>
        <v>R-2</v>
      </c>
      <c r="O135" t="str">
        <f ca="1"/>
        <v>R-2</v>
      </c>
      <c r="P135">
        <f ca="1"/>
        <v>1</v>
      </c>
      <c r="Q135">
        <f ca="1"/>
        <v>1.7348846221126388</v>
      </c>
      <c r="R135" s="2">
        <f ca="1"/>
        <v>2.2119999999999997</v>
      </c>
      <c r="S135">
        <f ca="1"/>
        <v>0.64000000000000012</v>
      </c>
      <c r="T135">
        <f ca="1"/>
        <v>687639.36691419396</v>
      </c>
      <c r="U135">
        <f ca="1"/>
        <v>7566249.7165893205</v>
      </c>
    </row>
    <row r="136" spans="1:21" x14ac:dyDescent="0.25">
      <c r="A136">
        <f ca="1"/>
        <v>135</v>
      </c>
      <c r="B136" t="str">
        <f ca="1"/>
        <v>CN</v>
      </c>
      <c r="C136" t="str">
        <f ca="1"/>
        <v>Z</v>
      </c>
      <c r="D136" t="str">
        <f ca="1"/>
        <v>R-2_D</v>
      </c>
      <c r="E136">
        <f ca="1"/>
        <v>0</v>
      </c>
      <c r="F136">
        <f ca="1"/>
        <v>0</v>
      </c>
      <c r="G136">
        <f ca="1"/>
        <v>0</v>
      </c>
      <c r="H136">
        <f ca="1"/>
        <v>0</v>
      </c>
      <c r="I136">
        <f ca="1"/>
        <v>0</v>
      </c>
      <c r="J136">
        <f ca="1"/>
        <v>68</v>
      </c>
      <c r="K136">
        <f ca="1"/>
        <v>0</v>
      </c>
      <c r="L136">
        <f ca="1"/>
        <v>687639.36691419396</v>
      </c>
      <c r="M136">
        <f ca="1"/>
        <v>7566249.7165893205</v>
      </c>
      <c r="N136" t="str">
        <f ca="1"/>
        <v>R-2</v>
      </c>
      <c r="O136" t="str">
        <f ca="1"/>
        <v>R-2</v>
      </c>
      <c r="P136">
        <f ca="1"/>
        <v>1</v>
      </c>
      <c r="Q136">
        <f ca="1"/>
        <v>1.7348846221126388</v>
      </c>
      <c r="R136" s="2">
        <f ca="1"/>
        <v>2.2119999999999997</v>
      </c>
      <c r="S136">
        <f ca="1"/>
        <v>0.64000000000000012</v>
      </c>
      <c r="T136">
        <f ca="1"/>
        <v>687639.36691419396</v>
      </c>
      <c r="U136">
        <f ca="1"/>
        <v>7566249.7165893205</v>
      </c>
    </row>
    <row r="137" spans="1:21" x14ac:dyDescent="0.25">
      <c r="A137">
        <f ca="1"/>
        <v>136</v>
      </c>
      <c r="B137" t="str">
        <f ca="1"/>
        <v>CN</v>
      </c>
      <c r="C137" t="str">
        <f ca="1"/>
        <v>Z</v>
      </c>
      <c r="D137" t="str">
        <f ca="1"/>
        <v>R-2_D</v>
      </c>
      <c r="E137">
        <f ca="1"/>
        <v>0</v>
      </c>
      <c r="F137">
        <f ca="1"/>
        <v>0</v>
      </c>
      <c r="G137">
        <f ca="1"/>
        <v>0</v>
      </c>
      <c r="H137">
        <f ca="1"/>
        <v>0</v>
      </c>
      <c r="I137">
        <f ca="1"/>
        <v>0</v>
      </c>
      <c r="J137">
        <f ca="1"/>
        <v>68</v>
      </c>
      <c r="K137">
        <f ca="1"/>
        <v>1</v>
      </c>
      <c r="L137">
        <f ca="1"/>
        <v>687638.17122444126</v>
      </c>
      <c r="M137">
        <f ca="1"/>
        <v>7566250.1673242925</v>
      </c>
      <c r="N137" t="str">
        <f ca="1"/>
        <v>R-2</v>
      </c>
      <c r="O137" t="str">
        <f ca="1"/>
        <v>R-2</v>
      </c>
      <c r="P137">
        <f ca="1"/>
        <v>1</v>
      </c>
      <c r="Q137">
        <f ca="1"/>
        <v>1.7348846221126388</v>
      </c>
      <c r="R137" s="2">
        <f ca="1"/>
        <v>2.2119999999999997</v>
      </c>
      <c r="S137">
        <f ca="1"/>
        <v>0.64000000000000012</v>
      </c>
      <c r="T137">
        <f ca="1"/>
        <v>687639.36691419396</v>
      </c>
      <c r="U137">
        <f ca="1"/>
        <v>7566249.7165893205</v>
      </c>
    </row>
    <row r="138" spans="1:21" x14ac:dyDescent="0.25">
      <c r="A138">
        <f ca="1"/>
        <v>137</v>
      </c>
      <c r="B138" t="str">
        <f ca="1"/>
        <v>SX</v>
      </c>
      <c r="C138" t="str">
        <f ca="1"/>
        <v>Z</v>
      </c>
      <c r="D138" t="str">
        <f ca="1"/>
        <v>R-20_U</v>
      </c>
      <c r="E138">
        <f ca="1"/>
        <v>0</v>
      </c>
      <c r="F138">
        <f ca="1"/>
        <v>0</v>
      </c>
      <c r="G138">
        <f ca="1"/>
        <v>0</v>
      </c>
      <c r="H138">
        <f ca="1"/>
        <v>0</v>
      </c>
      <c r="I138">
        <f ca="1"/>
        <v>0</v>
      </c>
      <c r="J138">
        <f ca="1"/>
        <v>69</v>
      </c>
      <c r="K138">
        <f ca="1"/>
        <v>0</v>
      </c>
      <c r="L138">
        <f ca="1"/>
        <v>694742.79517422116</v>
      </c>
      <c r="M138">
        <f ca="1"/>
        <v>7576882.22792733</v>
      </c>
      <c r="N138" t="str">
        <f ca="1"/>
        <v>R-20</v>
      </c>
      <c r="O138" t="str">
        <f ca="1"/>
        <v>R-20</v>
      </c>
      <c r="P138">
        <f ca="1"/>
        <v>0</v>
      </c>
      <c r="Q138">
        <f ca="1"/>
        <v>-1.4374885115431848</v>
      </c>
      <c r="R138" s="2">
        <f ca="1"/>
        <v>18.844000000000001</v>
      </c>
      <c r="S138">
        <f ca="1"/>
        <v>0.64000000000000012</v>
      </c>
      <c r="T138">
        <f ca="1"/>
        <v>694752.04851453996</v>
      </c>
      <c r="U138">
        <f ca="1"/>
        <v>7576884.1145584397</v>
      </c>
    </row>
    <row r="139" spans="1:21" x14ac:dyDescent="0.25">
      <c r="A139">
        <f ca="1"/>
        <v>138</v>
      </c>
      <c r="B139" t="str">
        <f ca="1"/>
        <v>SX</v>
      </c>
      <c r="C139" t="str">
        <f ca="1"/>
        <v>Z</v>
      </c>
      <c r="D139" t="str">
        <f ca="1"/>
        <v>R-20_U</v>
      </c>
      <c r="E139">
        <f ca="1"/>
        <v>0</v>
      </c>
      <c r="F139">
        <f ca="1"/>
        <v>0</v>
      </c>
      <c r="G139">
        <f ca="1"/>
        <v>0</v>
      </c>
      <c r="H139">
        <f ca="1"/>
        <v>0</v>
      </c>
      <c r="I139">
        <f ca="1"/>
        <v>0</v>
      </c>
      <c r="J139">
        <f ca="1"/>
        <v>69</v>
      </c>
      <c r="K139">
        <f ca="1"/>
        <v>1</v>
      </c>
      <c r="L139">
        <f ca="1"/>
        <v>694761.47198392253</v>
      </c>
      <c r="M139">
        <f ca="1"/>
        <v>7576884.7325461395</v>
      </c>
      <c r="N139" t="str">
        <f ca="1"/>
        <v>R-20</v>
      </c>
      <c r="O139" t="str">
        <f ca="1"/>
        <v>R-20</v>
      </c>
      <c r="P139">
        <f ca="1"/>
        <v>0</v>
      </c>
      <c r="Q139">
        <f ca="1"/>
        <v>-1.4374885115431848</v>
      </c>
      <c r="R139" s="2">
        <f ca="1"/>
        <v>18.844000000000001</v>
      </c>
      <c r="S139">
        <f ca="1"/>
        <v>0.64000000000000012</v>
      </c>
      <c r="T139">
        <f ca="1"/>
        <v>694752.04851453996</v>
      </c>
      <c r="U139">
        <f ca="1"/>
        <v>7576884.1145584397</v>
      </c>
    </row>
    <row r="140" spans="1:21" x14ac:dyDescent="0.25">
      <c r="A140">
        <f ca="1"/>
        <v>139</v>
      </c>
      <c r="B140" t="str">
        <f ca="1"/>
        <v>CN</v>
      </c>
      <c r="C140" t="str">
        <f ca="1"/>
        <v>Z</v>
      </c>
      <c r="D140" t="str">
        <f ca="1"/>
        <v>R-20_U</v>
      </c>
      <c r="E140">
        <f ca="1"/>
        <v>0</v>
      </c>
      <c r="F140">
        <f ca="1"/>
        <v>0</v>
      </c>
      <c r="G140">
        <f ca="1"/>
        <v>0</v>
      </c>
      <c r="H140">
        <f ca="1"/>
        <v>0</v>
      </c>
      <c r="I140">
        <f ca="1"/>
        <v>0</v>
      </c>
      <c r="J140">
        <f ca="1"/>
        <v>70</v>
      </c>
      <c r="K140">
        <f ca="1"/>
        <v>0</v>
      </c>
      <c r="L140">
        <f ca="1"/>
        <v>694752.04851453996</v>
      </c>
      <c r="M140">
        <f ca="1"/>
        <v>7576884.1145584397</v>
      </c>
      <c r="N140" t="str">
        <f ca="1"/>
        <v>R-20</v>
      </c>
      <c r="O140" t="str">
        <f ca="1"/>
        <v>R-20</v>
      </c>
      <c r="P140">
        <f ca="1"/>
        <v>0</v>
      </c>
      <c r="Q140">
        <f ca="1"/>
        <v>-1.4374885115431848</v>
      </c>
      <c r="R140" s="2">
        <f ca="1"/>
        <v>18.844000000000001</v>
      </c>
      <c r="S140">
        <f ca="1"/>
        <v>0.64000000000000012</v>
      </c>
      <c r="T140">
        <f ca="1"/>
        <v>694752.04851453996</v>
      </c>
      <c r="U140">
        <f ca="1"/>
        <v>7576884.1145584397</v>
      </c>
    </row>
    <row r="141" spans="1:21" x14ac:dyDescent="0.25">
      <c r="A141">
        <f ca="1"/>
        <v>140</v>
      </c>
      <c r="B141" t="str">
        <f ca="1"/>
        <v>CN</v>
      </c>
      <c r="C141" t="str">
        <f ca="1"/>
        <v>Z</v>
      </c>
      <c r="D141" t="str">
        <f ca="1"/>
        <v>R-20_U</v>
      </c>
      <c r="E141">
        <f ca="1"/>
        <v>0</v>
      </c>
      <c r="F141">
        <f ca="1"/>
        <v>0</v>
      </c>
      <c r="G141">
        <f ca="1"/>
        <v>0</v>
      </c>
      <c r="H141">
        <f ca="1"/>
        <v>0</v>
      </c>
      <c r="I141">
        <f ca="1"/>
        <v>0</v>
      </c>
      <c r="J141">
        <f ca="1"/>
        <v>70</v>
      </c>
      <c r="K141">
        <f ca="1"/>
        <v>1</v>
      </c>
      <c r="L141">
        <f ca="1"/>
        <v>694761.47198392253</v>
      </c>
      <c r="M141">
        <f ca="1"/>
        <v>7576884.7325461395</v>
      </c>
      <c r="N141" t="str">
        <f ca="1"/>
        <v>R-20</v>
      </c>
      <c r="O141" t="str">
        <f ca="1"/>
        <v>R-20</v>
      </c>
      <c r="P141">
        <f ca="1"/>
        <v>0</v>
      </c>
      <c r="Q141">
        <f ca="1"/>
        <v>-1.4374885115431848</v>
      </c>
      <c r="R141" s="2">
        <f ca="1"/>
        <v>18.844000000000001</v>
      </c>
      <c r="S141">
        <f ca="1"/>
        <v>0.64000000000000012</v>
      </c>
      <c r="T141">
        <f ca="1"/>
        <v>694752.04851453996</v>
      </c>
      <c r="U141">
        <f ca="1"/>
        <v>7576884.1145584397</v>
      </c>
    </row>
    <row r="142" spans="1:21" x14ac:dyDescent="0.25">
      <c r="A142">
        <f ca="1"/>
        <v>141</v>
      </c>
      <c r="B142" t="str">
        <f ca="1"/>
        <v>SX</v>
      </c>
      <c r="C142" t="str">
        <f ca="1"/>
        <v>Z</v>
      </c>
      <c r="D142" t="str">
        <f ca="1"/>
        <v>R-20_D</v>
      </c>
      <c r="E142">
        <f ca="1"/>
        <v>0</v>
      </c>
      <c r="F142">
        <f ca="1"/>
        <v>0</v>
      </c>
      <c r="G142">
        <f ca="1"/>
        <v>0</v>
      </c>
      <c r="H142">
        <f ca="1"/>
        <v>0</v>
      </c>
      <c r="I142">
        <f ca="1"/>
        <v>0</v>
      </c>
      <c r="J142">
        <f ca="1"/>
        <v>71</v>
      </c>
      <c r="K142">
        <f ca="1"/>
        <v>0</v>
      </c>
      <c r="L142">
        <f ca="1"/>
        <v>694756.33387511084</v>
      </c>
      <c r="M142">
        <f ca="1"/>
        <v>7576923.0471511995</v>
      </c>
      <c r="N142" t="str">
        <f ca="1"/>
        <v>R-20</v>
      </c>
      <c r="O142" t="str">
        <f ca="1"/>
        <v>R-20</v>
      </c>
      <c r="P142">
        <f ca="1"/>
        <v>1</v>
      </c>
      <c r="Q142">
        <f ca="1"/>
        <v>1.7041041420466083</v>
      </c>
      <c r="R142" s="2">
        <f ca="1"/>
        <v>18.844000000000001</v>
      </c>
      <c r="S142">
        <f ca="1"/>
        <v>0.64000000000000012</v>
      </c>
      <c r="T142">
        <f ca="1"/>
        <v>694747.08053479204</v>
      </c>
      <c r="U142">
        <f ca="1"/>
        <v>7576921.1605200898</v>
      </c>
    </row>
    <row r="143" spans="1:21" x14ac:dyDescent="0.25">
      <c r="A143">
        <f ca="1"/>
        <v>142</v>
      </c>
      <c r="B143" t="str">
        <f ca="1"/>
        <v>SX</v>
      </c>
      <c r="C143" t="str">
        <f ca="1"/>
        <v>Z</v>
      </c>
      <c r="D143" t="str">
        <f ca="1"/>
        <v>R-20_D</v>
      </c>
      <c r="E143">
        <f ca="1"/>
        <v>0</v>
      </c>
      <c r="F143">
        <f ca="1"/>
        <v>0</v>
      </c>
      <c r="G143">
        <f ca="1"/>
        <v>0</v>
      </c>
      <c r="H143">
        <f ca="1"/>
        <v>0</v>
      </c>
      <c r="I143">
        <f ca="1"/>
        <v>0</v>
      </c>
      <c r="J143">
        <f ca="1"/>
        <v>71</v>
      </c>
      <c r="K143">
        <f ca="1"/>
        <v>1</v>
      </c>
      <c r="L143">
        <f ca="1"/>
        <v>694737.65706540947</v>
      </c>
      <c r="M143">
        <f ca="1"/>
        <v>7576920.54253239</v>
      </c>
      <c r="N143" t="str">
        <f ca="1"/>
        <v>R-20</v>
      </c>
      <c r="O143" t="str">
        <f ca="1"/>
        <v>R-20</v>
      </c>
      <c r="P143">
        <f ca="1"/>
        <v>1</v>
      </c>
      <c r="Q143">
        <f ca="1"/>
        <v>1.7041041420466083</v>
      </c>
      <c r="R143" s="2">
        <f ca="1"/>
        <v>18.844000000000001</v>
      </c>
      <c r="S143">
        <f ca="1"/>
        <v>0.64000000000000012</v>
      </c>
      <c r="T143">
        <f ca="1"/>
        <v>694747.08053479204</v>
      </c>
      <c r="U143">
        <f ca="1"/>
        <v>7576921.1605200898</v>
      </c>
    </row>
    <row r="144" spans="1:21" x14ac:dyDescent="0.25">
      <c r="A144">
        <f ca="1"/>
        <v>143</v>
      </c>
      <c r="B144" t="str">
        <f ca="1"/>
        <v>CN</v>
      </c>
      <c r="C144" t="str">
        <f ca="1"/>
        <v>Z</v>
      </c>
      <c r="D144" t="str">
        <f ca="1"/>
        <v>R-20_D</v>
      </c>
      <c r="E144">
        <f ca="1"/>
        <v>0</v>
      </c>
      <c r="F144">
        <f ca="1"/>
        <v>0</v>
      </c>
      <c r="G144">
        <f ca="1"/>
        <v>0</v>
      </c>
      <c r="H144">
        <f ca="1"/>
        <v>0</v>
      </c>
      <c r="I144">
        <f ca="1"/>
        <v>0</v>
      </c>
      <c r="J144">
        <f ca="1"/>
        <v>72</v>
      </c>
      <c r="K144">
        <f ca="1"/>
        <v>0</v>
      </c>
      <c r="L144">
        <f ca="1"/>
        <v>694747.08053479204</v>
      </c>
      <c r="M144">
        <f ca="1"/>
        <v>7576921.1605200898</v>
      </c>
      <c r="N144" t="str">
        <f ca="1"/>
        <v>R-20</v>
      </c>
      <c r="O144" t="str">
        <f ca="1"/>
        <v>R-20</v>
      </c>
      <c r="P144">
        <f ca="1"/>
        <v>1</v>
      </c>
      <c r="Q144">
        <f ca="1"/>
        <v>1.7041041420466083</v>
      </c>
      <c r="R144" s="2">
        <f ca="1"/>
        <v>18.844000000000001</v>
      </c>
      <c r="S144">
        <f ca="1"/>
        <v>0.64000000000000012</v>
      </c>
      <c r="T144">
        <f ca="1"/>
        <v>694747.08053479204</v>
      </c>
      <c r="U144">
        <f ca="1"/>
        <v>7576921.1605200898</v>
      </c>
    </row>
    <row r="145" spans="1:21" x14ac:dyDescent="0.25">
      <c r="A145">
        <f ca="1"/>
        <v>144</v>
      </c>
      <c r="B145" t="str">
        <f ca="1"/>
        <v>CN</v>
      </c>
      <c r="C145" t="str">
        <f ca="1"/>
        <v>Z</v>
      </c>
      <c r="D145" t="str">
        <f ca="1"/>
        <v>R-20_D</v>
      </c>
      <c r="E145">
        <f ca="1"/>
        <v>0</v>
      </c>
      <c r="F145">
        <f ca="1"/>
        <v>0</v>
      </c>
      <c r="G145">
        <f ca="1"/>
        <v>0</v>
      </c>
      <c r="H145">
        <f ca="1"/>
        <v>0</v>
      </c>
      <c r="I145">
        <f ca="1"/>
        <v>0</v>
      </c>
      <c r="J145">
        <f ca="1"/>
        <v>72</v>
      </c>
      <c r="K145">
        <f ca="1"/>
        <v>1</v>
      </c>
      <c r="L145">
        <f ca="1"/>
        <v>694737.65706540947</v>
      </c>
      <c r="M145">
        <f ca="1"/>
        <v>7576920.54253239</v>
      </c>
      <c r="N145" t="str">
        <f ca="1"/>
        <v>R-20</v>
      </c>
      <c r="O145" t="str">
        <f ca="1"/>
        <v>R-20</v>
      </c>
      <c r="P145">
        <f ca="1"/>
        <v>1</v>
      </c>
      <c r="Q145">
        <f ca="1"/>
        <v>1.7041041420466083</v>
      </c>
      <c r="R145" s="2">
        <f ca="1"/>
        <v>18.844000000000001</v>
      </c>
      <c r="S145">
        <f ca="1"/>
        <v>0.64000000000000012</v>
      </c>
      <c r="T145">
        <f ca="1"/>
        <v>694747.08053479204</v>
      </c>
      <c r="U145">
        <f ca="1"/>
        <v>7576921.1605200898</v>
      </c>
    </row>
    <row r="146" spans="1:21" x14ac:dyDescent="0.25">
      <c r="A146">
        <f ca="1"/>
        <v>145</v>
      </c>
      <c r="B146" t="str">
        <f ca="1"/>
        <v>SX</v>
      </c>
      <c r="C146" t="str">
        <f ca="1"/>
        <v>Z</v>
      </c>
      <c r="D146" t="str">
        <f ca="1"/>
        <v>R-21_U</v>
      </c>
      <c r="E146">
        <f ca="1"/>
        <v>0</v>
      </c>
      <c r="F146">
        <f ca="1"/>
        <v>0</v>
      </c>
      <c r="G146">
        <f ca="1"/>
        <v>0</v>
      </c>
      <c r="H146">
        <f ca="1"/>
        <v>0</v>
      </c>
      <c r="I146">
        <f ca="1"/>
        <v>0</v>
      </c>
      <c r="J146">
        <f ca="1"/>
        <v>73</v>
      </c>
      <c r="K146">
        <f ca="1"/>
        <v>0</v>
      </c>
      <c r="L146">
        <f ca="1"/>
        <v>695653.61331018514</v>
      </c>
      <c r="M146">
        <f ca="1"/>
        <v>7577757.1535329269</v>
      </c>
      <c r="N146" t="str">
        <f ca="1"/>
        <v>R-21</v>
      </c>
      <c r="O146" t="str">
        <f ca="1"/>
        <v>R-21</v>
      </c>
      <c r="P146">
        <f ca="1"/>
        <v>0</v>
      </c>
      <c r="Q146">
        <f ca="1"/>
        <v>-0.94417125289547243</v>
      </c>
      <c r="R146" s="2">
        <f ca="1"/>
        <v>6.7480000000000002</v>
      </c>
      <c r="S146">
        <f ca="1"/>
        <v>0.64000000000000012</v>
      </c>
      <c r="T146">
        <f ca="1"/>
        <v>695655.97098285099</v>
      </c>
      <c r="U146">
        <f ca="1"/>
        <v>7577759.6505022096</v>
      </c>
    </row>
    <row r="147" spans="1:21" x14ac:dyDescent="0.25">
      <c r="A147">
        <f ca="1"/>
        <v>146</v>
      </c>
      <c r="B147" t="str">
        <f ca="1"/>
        <v>SX</v>
      </c>
      <c r="C147" t="str">
        <f ca="1"/>
        <v>Z</v>
      </c>
      <c r="D147" t="str">
        <f ca="1"/>
        <v>R-21_U</v>
      </c>
      <c r="E147">
        <f ca="1"/>
        <v>0</v>
      </c>
      <c r="F147">
        <f ca="1"/>
        <v>0</v>
      </c>
      <c r="G147">
        <f ca="1"/>
        <v>0</v>
      </c>
      <c r="H147">
        <f ca="1"/>
        <v>0</v>
      </c>
      <c r="I147">
        <f ca="1"/>
        <v>0</v>
      </c>
      <c r="J147">
        <f ca="1"/>
        <v>73</v>
      </c>
      <c r="K147">
        <f ca="1"/>
        <v>1</v>
      </c>
      <c r="L147">
        <f ca="1"/>
        <v>695659.0792659166</v>
      </c>
      <c r="M147">
        <f ca="1"/>
        <v>7577761.1106571276</v>
      </c>
      <c r="N147" t="str">
        <f ca="1"/>
        <v>R-21</v>
      </c>
      <c r="O147" t="str">
        <f ca="1"/>
        <v>R-21</v>
      </c>
      <c r="P147">
        <f ca="1"/>
        <v>0</v>
      </c>
      <c r="Q147">
        <f ca="1"/>
        <v>-0.94417125289547243</v>
      </c>
      <c r="R147" s="2">
        <f ca="1"/>
        <v>6.7480000000000002</v>
      </c>
      <c r="S147">
        <f ca="1"/>
        <v>0.64000000000000012</v>
      </c>
      <c r="T147">
        <f ca="1"/>
        <v>695655.97098285099</v>
      </c>
      <c r="U147">
        <f ca="1"/>
        <v>7577759.6505022096</v>
      </c>
    </row>
    <row r="148" spans="1:21" x14ac:dyDescent="0.25">
      <c r="A148">
        <f ca="1"/>
        <v>147</v>
      </c>
      <c r="B148" t="str">
        <f ca="1"/>
        <v>CN</v>
      </c>
      <c r="C148" t="str">
        <f ca="1"/>
        <v>Z</v>
      </c>
      <c r="D148" t="str">
        <f ca="1"/>
        <v>R-21_U</v>
      </c>
      <c r="E148">
        <f ca="1"/>
        <v>0</v>
      </c>
      <c r="F148">
        <f ca="1"/>
        <v>0</v>
      </c>
      <c r="G148">
        <f ca="1"/>
        <v>0</v>
      </c>
      <c r="H148">
        <f ca="1"/>
        <v>0</v>
      </c>
      <c r="I148">
        <f ca="1"/>
        <v>0</v>
      </c>
      <c r="J148">
        <f ca="1"/>
        <v>74</v>
      </c>
      <c r="K148">
        <f ca="1"/>
        <v>0</v>
      </c>
      <c r="L148">
        <f ca="1"/>
        <v>695655.97098285099</v>
      </c>
      <c r="M148">
        <f ca="1"/>
        <v>7577759.6505022096</v>
      </c>
      <c r="N148" t="str">
        <f ca="1"/>
        <v>R-21</v>
      </c>
      <c r="O148" t="str">
        <f ca="1"/>
        <v>R-21</v>
      </c>
      <c r="P148">
        <f ca="1"/>
        <v>0</v>
      </c>
      <c r="Q148">
        <f ca="1"/>
        <v>-0.94417125289547243</v>
      </c>
      <c r="R148" s="2">
        <f ca="1"/>
        <v>6.7480000000000002</v>
      </c>
      <c r="S148">
        <f ca="1"/>
        <v>0.64000000000000012</v>
      </c>
      <c r="T148">
        <f ca="1"/>
        <v>695655.97098285099</v>
      </c>
      <c r="U148">
        <f ca="1"/>
        <v>7577759.6505022096</v>
      </c>
    </row>
    <row r="149" spans="1:21" x14ac:dyDescent="0.25">
      <c r="A149">
        <f ca="1"/>
        <v>148</v>
      </c>
      <c r="B149" t="str">
        <f ca="1"/>
        <v>CN</v>
      </c>
      <c r="C149" t="str">
        <f ca="1"/>
        <v>Z</v>
      </c>
      <c r="D149" t="str">
        <f ca="1"/>
        <v>R-21_U</v>
      </c>
      <c r="E149">
        <f ca="1"/>
        <v>0</v>
      </c>
      <c r="F149">
        <f ca="1"/>
        <v>0</v>
      </c>
      <c r="G149">
        <f ca="1"/>
        <v>0</v>
      </c>
      <c r="H149">
        <f ca="1"/>
        <v>0</v>
      </c>
      <c r="I149">
        <f ca="1"/>
        <v>0</v>
      </c>
      <c r="J149">
        <f ca="1"/>
        <v>74</v>
      </c>
      <c r="K149">
        <f ca="1"/>
        <v>1</v>
      </c>
      <c r="L149">
        <f ca="1"/>
        <v>695659.0792659166</v>
      </c>
      <c r="M149">
        <f ca="1"/>
        <v>7577761.1106571276</v>
      </c>
      <c r="N149" t="str">
        <f ca="1"/>
        <v>R-21</v>
      </c>
      <c r="O149" t="str">
        <f ca="1"/>
        <v>R-21</v>
      </c>
      <c r="P149">
        <f ca="1"/>
        <v>0</v>
      </c>
      <c r="Q149">
        <f ca="1"/>
        <v>-0.94417125289547243</v>
      </c>
      <c r="R149" s="2">
        <f ca="1"/>
        <v>6.7480000000000002</v>
      </c>
      <c r="S149">
        <f ca="1"/>
        <v>0.64000000000000012</v>
      </c>
      <c r="T149">
        <f ca="1"/>
        <v>695655.97098285099</v>
      </c>
      <c r="U149">
        <f ca="1"/>
        <v>7577759.6505022096</v>
      </c>
    </row>
    <row r="150" spans="1:21" x14ac:dyDescent="0.25">
      <c r="A150">
        <f ca="1"/>
        <v>149</v>
      </c>
      <c r="B150" t="str">
        <f ca="1"/>
        <v>SX</v>
      </c>
      <c r="C150" t="str">
        <f ca="1"/>
        <v>Z</v>
      </c>
      <c r="D150" t="str">
        <f ca="1"/>
        <v>R-21_D</v>
      </c>
      <c r="E150">
        <f ca="1"/>
        <v>0</v>
      </c>
      <c r="F150">
        <f ca="1"/>
        <v>0</v>
      </c>
      <c r="G150">
        <f ca="1"/>
        <v>0</v>
      </c>
      <c r="H150">
        <f ca="1"/>
        <v>0</v>
      </c>
      <c r="I150">
        <f ca="1"/>
        <v>0</v>
      </c>
      <c r="J150">
        <f ca="1"/>
        <v>75</v>
      </c>
      <c r="K150">
        <f ca="1"/>
        <v>0</v>
      </c>
      <c r="L150">
        <f ca="1"/>
        <v>695632.50895956787</v>
      </c>
      <c r="M150">
        <f ca="1"/>
        <v>7577797.8120874828</v>
      </c>
      <c r="N150" t="str">
        <f ca="1"/>
        <v>R-21</v>
      </c>
      <c r="O150" t="str">
        <f ca="1"/>
        <v>R-21</v>
      </c>
      <c r="P150">
        <f ca="1"/>
        <v>1</v>
      </c>
      <c r="Q150">
        <f ca="1"/>
        <v>2.1974214006943207</v>
      </c>
      <c r="R150" s="2">
        <f ca="1"/>
        <v>6.7480000000000002</v>
      </c>
      <c r="S150">
        <f ca="1"/>
        <v>0.64000000000000012</v>
      </c>
      <c r="T150">
        <f ca="1"/>
        <v>695630.15128690202</v>
      </c>
      <c r="U150">
        <f ca="1"/>
        <v>7577795.3151182001</v>
      </c>
    </row>
    <row r="151" spans="1:21" x14ac:dyDescent="0.25">
      <c r="A151">
        <f ca="1"/>
        <v>150</v>
      </c>
      <c r="B151" t="str">
        <f ca="1"/>
        <v>SX</v>
      </c>
      <c r="C151" t="str">
        <f ca="1"/>
        <v>Z</v>
      </c>
      <c r="D151" t="str">
        <f ca="1"/>
        <v>R-21_D</v>
      </c>
      <c r="E151">
        <f ca="1"/>
        <v>0</v>
      </c>
      <c r="F151">
        <f ca="1"/>
        <v>0</v>
      </c>
      <c r="G151">
        <f ca="1"/>
        <v>0</v>
      </c>
      <c r="H151">
        <f ca="1"/>
        <v>0</v>
      </c>
      <c r="I151">
        <f ca="1"/>
        <v>0</v>
      </c>
      <c r="J151">
        <f ca="1"/>
        <v>75</v>
      </c>
      <c r="K151">
        <f ca="1"/>
        <v>1</v>
      </c>
      <c r="L151">
        <f ca="1"/>
        <v>695627.04300383641</v>
      </c>
      <c r="M151">
        <f ca="1"/>
        <v>7577793.8549632821</v>
      </c>
      <c r="N151" t="str">
        <f ca="1"/>
        <v>R-21</v>
      </c>
      <c r="O151" t="str">
        <f ca="1"/>
        <v>R-21</v>
      </c>
      <c r="P151">
        <f ca="1"/>
        <v>1</v>
      </c>
      <c r="Q151">
        <f ca="1"/>
        <v>2.1974214006943207</v>
      </c>
      <c r="R151" s="2">
        <f ca="1"/>
        <v>6.7480000000000002</v>
      </c>
      <c r="S151">
        <f ca="1"/>
        <v>0.64000000000000012</v>
      </c>
      <c r="T151">
        <f ca="1"/>
        <v>695630.15128690202</v>
      </c>
      <c r="U151">
        <f ca="1"/>
        <v>7577795.3151182001</v>
      </c>
    </row>
    <row r="152" spans="1:21" x14ac:dyDescent="0.25">
      <c r="A152">
        <f ca="1"/>
        <v>151</v>
      </c>
      <c r="B152" t="str">
        <f ca="1"/>
        <v>CN</v>
      </c>
      <c r="C152" t="str">
        <f ca="1"/>
        <v>Z</v>
      </c>
      <c r="D152" t="str">
        <f ca="1"/>
        <v>R-21_D</v>
      </c>
      <c r="E152">
        <f ca="1"/>
        <v>0</v>
      </c>
      <c r="F152">
        <f ca="1"/>
        <v>0</v>
      </c>
      <c r="G152">
        <f ca="1"/>
        <v>0</v>
      </c>
      <c r="H152">
        <f ca="1"/>
        <v>0</v>
      </c>
      <c r="I152">
        <f ca="1"/>
        <v>0</v>
      </c>
      <c r="J152">
        <f ca="1"/>
        <v>76</v>
      </c>
      <c r="K152">
        <f ca="1"/>
        <v>0</v>
      </c>
      <c r="L152">
        <f ca="1"/>
        <v>695630.15128690202</v>
      </c>
      <c r="M152">
        <f ca="1"/>
        <v>7577795.3151182001</v>
      </c>
      <c r="N152" t="str">
        <f ca="1"/>
        <v>R-21</v>
      </c>
      <c r="O152" t="str">
        <f ca="1"/>
        <v>R-21</v>
      </c>
      <c r="P152">
        <f ca="1"/>
        <v>1</v>
      </c>
      <c r="Q152">
        <f ca="1"/>
        <v>2.1974214006943207</v>
      </c>
      <c r="R152" s="2">
        <f ca="1"/>
        <v>6.7480000000000002</v>
      </c>
      <c r="S152">
        <f ca="1"/>
        <v>0.64000000000000012</v>
      </c>
      <c r="T152">
        <f ca="1"/>
        <v>695630.15128690202</v>
      </c>
      <c r="U152">
        <f ca="1"/>
        <v>7577795.3151182001</v>
      </c>
    </row>
    <row r="153" spans="1:21" x14ac:dyDescent="0.25">
      <c r="A153">
        <f ca="1"/>
        <v>152</v>
      </c>
      <c r="B153" t="str">
        <f ca="1"/>
        <v>CN</v>
      </c>
      <c r="C153" t="str">
        <f ca="1"/>
        <v>Z</v>
      </c>
      <c r="D153" t="str">
        <f ca="1"/>
        <v>R-21_D</v>
      </c>
      <c r="E153">
        <f ca="1"/>
        <v>0</v>
      </c>
      <c r="F153">
        <f ca="1"/>
        <v>0</v>
      </c>
      <c r="G153">
        <f ca="1"/>
        <v>0</v>
      </c>
      <c r="H153">
        <f ca="1"/>
        <v>0</v>
      </c>
      <c r="I153">
        <f ca="1"/>
        <v>0</v>
      </c>
      <c r="J153">
        <f ca="1"/>
        <v>76</v>
      </c>
      <c r="K153">
        <f ca="1"/>
        <v>1</v>
      </c>
      <c r="L153">
        <f ca="1"/>
        <v>695627.04300383641</v>
      </c>
      <c r="M153">
        <f ca="1"/>
        <v>7577793.8549632821</v>
      </c>
      <c r="N153" t="str">
        <f ca="1"/>
        <v>R-21</v>
      </c>
      <c r="O153" t="str">
        <f ca="1"/>
        <v>R-21</v>
      </c>
      <c r="P153">
        <f ca="1"/>
        <v>1</v>
      </c>
      <c r="Q153">
        <f ca="1"/>
        <v>2.1974214006943207</v>
      </c>
      <c r="R153" s="2">
        <f ca="1"/>
        <v>6.7480000000000002</v>
      </c>
      <c r="S153">
        <f ca="1"/>
        <v>0.64000000000000012</v>
      </c>
      <c r="T153">
        <f ca="1"/>
        <v>695630.15128690202</v>
      </c>
      <c r="U153">
        <f ca="1"/>
        <v>7577795.3151182001</v>
      </c>
    </row>
    <row r="154" spans="1:21" x14ac:dyDescent="0.25">
      <c r="A154">
        <f ca="1"/>
        <v>153</v>
      </c>
      <c r="B154" t="str">
        <f ca="1"/>
        <v>SX</v>
      </c>
      <c r="C154" t="str">
        <f ca="1"/>
        <v>Z</v>
      </c>
      <c r="D154" t="str">
        <f ca="1"/>
        <v>R-22_U</v>
      </c>
      <c r="E154">
        <f ca="1"/>
        <v>0</v>
      </c>
      <c r="F154">
        <f ca="1"/>
        <v>0</v>
      </c>
      <c r="G154">
        <f ca="1"/>
        <v>0</v>
      </c>
      <c r="H154">
        <f ca="1"/>
        <v>0</v>
      </c>
      <c r="I154">
        <f ca="1"/>
        <v>0</v>
      </c>
      <c r="J154">
        <f ca="1"/>
        <v>77</v>
      </c>
      <c r="K154">
        <f ca="1"/>
        <v>0</v>
      </c>
      <c r="L154">
        <f ca="1"/>
        <v>696089.42070120608</v>
      </c>
      <c r="M154">
        <f ca="1"/>
        <v>7577899.1929554725</v>
      </c>
      <c r="N154" t="str">
        <f ca="1"/>
        <v>R-22</v>
      </c>
      <c r="O154" t="str">
        <f ca="1"/>
        <v>R-22</v>
      </c>
      <c r="P154">
        <f ca="1"/>
        <v>0</v>
      </c>
      <c r="Q154">
        <f ca="1"/>
        <v>-1.5324708273197096</v>
      </c>
      <c r="R154" s="2">
        <f ca="1"/>
        <v>3.2199999999999998</v>
      </c>
      <c r="S154">
        <f ca="1"/>
        <v>0.64000000000000012</v>
      </c>
      <c r="T154">
        <f ca="1"/>
        <v>696091.00499661604</v>
      </c>
      <c r="U154">
        <f ca="1"/>
        <v>7577899.8941744501</v>
      </c>
    </row>
    <row r="155" spans="1:21" x14ac:dyDescent="0.25">
      <c r="A155">
        <f ca="1"/>
        <v>154</v>
      </c>
      <c r="B155" t="str">
        <f ca="1"/>
        <v>SX</v>
      </c>
      <c r="C155" t="str">
        <f ca="1"/>
        <v>Z</v>
      </c>
      <c r="D155" t="str">
        <f ca="1"/>
        <v>R-22_U</v>
      </c>
      <c r="E155">
        <f ca="1"/>
        <v>0</v>
      </c>
      <c r="F155">
        <f ca="1"/>
        <v>0</v>
      </c>
      <c r="G155">
        <f ca="1"/>
        <v>0</v>
      </c>
      <c r="H155">
        <f ca="1"/>
        <v>0</v>
      </c>
      <c r="I155">
        <f ca="1"/>
        <v>0</v>
      </c>
      <c r="J155">
        <f ca="1"/>
        <v>77</v>
      </c>
      <c r="K155">
        <f ca="1"/>
        <v>1</v>
      </c>
      <c r="L155">
        <f ca="1"/>
        <v>696092.63833665685</v>
      </c>
      <c r="M155">
        <f ca="1"/>
        <v>7577899.3163333721</v>
      </c>
      <c r="N155" t="str">
        <f ca="1"/>
        <v>R-22</v>
      </c>
      <c r="O155" t="str">
        <f ca="1"/>
        <v>R-22</v>
      </c>
      <c r="P155">
        <f ca="1"/>
        <v>0</v>
      </c>
      <c r="Q155">
        <f ca="1"/>
        <v>-1.5324708273197096</v>
      </c>
      <c r="R155" s="2">
        <f ca="1"/>
        <v>3.2199999999999998</v>
      </c>
      <c r="S155">
        <f ca="1"/>
        <v>0.64000000000000012</v>
      </c>
      <c r="T155">
        <f ca="1"/>
        <v>696091.00499661604</v>
      </c>
      <c r="U155">
        <f ca="1"/>
        <v>7577899.8941744501</v>
      </c>
    </row>
    <row r="156" spans="1:21" x14ac:dyDescent="0.25">
      <c r="A156">
        <f ca="1"/>
        <v>155</v>
      </c>
      <c r="B156" t="str">
        <f ca="1"/>
        <v>CN</v>
      </c>
      <c r="C156" t="str">
        <f ca="1"/>
        <v>Z</v>
      </c>
      <c r="D156" t="str">
        <f ca="1"/>
        <v>R-22_U</v>
      </c>
      <c r="E156">
        <f ca="1"/>
        <v>0</v>
      </c>
      <c r="F156">
        <f ca="1"/>
        <v>0</v>
      </c>
      <c r="G156">
        <f ca="1"/>
        <v>0</v>
      </c>
      <c r="H156">
        <f ca="1"/>
        <v>0</v>
      </c>
      <c r="I156">
        <f ca="1"/>
        <v>0</v>
      </c>
      <c r="J156">
        <f ca="1"/>
        <v>78</v>
      </c>
      <c r="K156">
        <f ca="1"/>
        <v>0</v>
      </c>
      <c r="L156">
        <f ca="1"/>
        <v>696091.00499661604</v>
      </c>
      <c r="M156">
        <f ca="1"/>
        <v>7577899.8941744501</v>
      </c>
      <c r="N156" t="str">
        <f ca="1"/>
        <v>R-22</v>
      </c>
      <c r="O156" t="str">
        <f ca="1"/>
        <v>R-22</v>
      </c>
      <c r="P156">
        <f ca="1"/>
        <v>0</v>
      </c>
      <c r="Q156">
        <f ca="1"/>
        <v>-1.5324708273197096</v>
      </c>
      <c r="R156" s="2">
        <f ca="1"/>
        <v>3.2199999999999998</v>
      </c>
      <c r="S156">
        <f ca="1"/>
        <v>0.64000000000000012</v>
      </c>
      <c r="T156">
        <f ca="1"/>
        <v>696091.00499661604</v>
      </c>
      <c r="U156">
        <f ca="1"/>
        <v>7577899.8941744501</v>
      </c>
    </row>
    <row r="157" spans="1:21" x14ac:dyDescent="0.25">
      <c r="A157">
        <f ca="1"/>
        <v>156</v>
      </c>
      <c r="B157" t="str">
        <f ca="1"/>
        <v>CN</v>
      </c>
      <c r="C157" t="str">
        <f ca="1"/>
        <v>Z</v>
      </c>
      <c r="D157" t="str">
        <f ca="1"/>
        <v>R-22_U</v>
      </c>
      <c r="E157">
        <f ca="1"/>
        <v>0</v>
      </c>
      <c r="F157">
        <f ca="1"/>
        <v>0</v>
      </c>
      <c r="G157">
        <f ca="1"/>
        <v>0</v>
      </c>
      <c r="H157">
        <f ca="1"/>
        <v>0</v>
      </c>
      <c r="I157">
        <f ca="1"/>
        <v>0</v>
      </c>
      <c r="J157">
        <f ca="1"/>
        <v>78</v>
      </c>
      <c r="K157">
        <f ca="1"/>
        <v>1</v>
      </c>
      <c r="L157">
        <f ca="1"/>
        <v>696092.63833665685</v>
      </c>
      <c r="M157">
        <f ca="1"/>
        <v>7577899.3163333721</v>
      </c>
      <c r="N157" t="str">
        <f ca="1"/>
        <v>R-22</v>
      </c>
      <c r="O157" t="str">
        <f ca="1"/>
        <v>R-22</v>
      </c>
      <c r="P157">
        <f ca="1"/>
        <v>0</v>
      </c>
      <c r="Q157">
        <f ca="1"/>
        <v>-1.5324708273197096</v>
      </c>
      <c r="R157" s="2">
        <f ca="1"/>
        <v>3.2199999999999998</v>
      </c>
      <c r="S157">
        <f ca="1"/>
        <v>0.64000000000000012</v>
      </c>
      <c r="T157">
        <f ca="1"/>
        <v>696091.00499661604</v>
      </c>
      <c r="U157">
        <f ca="1"/>
        <v>7577899.8941744501</v>
      </c>
    </row>
    <row r="158" spans="1:21" x14ac:dyDescent="0.25">
      <c r="A158">
        <f ca="1"/>
        <v>157</v>
      </c>
      <c r="B158" t="str">
        <f ca="1"/>
        <v>SX</v>
      </c>
      <c r="C158" t="str">
        <f ca="1"/>
        <v>Z</v>
      </c>
      <c r="D158" t="str">
        <f ca="1"/>
        <v>R-22_D</v>
      </c>
      <c r="E158">
        <f ca="1"/>
        <v>0</v>
      </c>
      <c r="F158">
        <f ca="1"/>
        <v>0</v>
      </c>
      <c r="G158">
        <f ca="1"/>
        <v>0</v>
      </c>
      <c r="H158">
        <f ca="1"/>
        <v>0</v>
      </c>
      <c r="I158">
        <f ca="1"/>
        <v>0</v>
      </c>
      <c r="J158">
        <f ca="1"/>
        <v>79</v>
      </c>
      <c r="K158">
        <f ca="1"/>
        <v>0</v>
      </c>
      <c r="L158">
        <f ca="1"/>
        <v>696091.38707381301</v>
      </c>
      <c r="M158">
        <f ca="1"/>
        <v>7577931.9486581776</v>
      </c>
      <c r="N158" t="str">
        <f ca="1"/>
        <v>R-22</v>
      </c>
      <c r="O158" t="str">
        <f ca="1"/>
        <v>R-22</v>
      </c>
      <c r="P158">
        <f ca="1"/>
        <v>1</v>
      </c>
      <c r="Q158">
        <f ca="1"/>
        <v>1.6091218262700835</v>
      </c>
      <c r="R158" s="2">
        <f ca="1"/>
        <v>3.2199999999999998</v>
      </c>
      <c r="S158">
        <f ca="1"/>
        <v>0.64000000000000012</v>
      </c>
      <c r="T158">
        <f ca="1"/>
        <v>696089.80277840304</v>
      </c>
      <c r="U158">
        <f ca="1"/>
        <v>7577931.2474392001</v>
      </c>
    </row>
    <row r="159" spans="1:21" x14ac:dyDescent="0.25">
      <c r="A159">
        <f ca="1"/>
        <v>158</v>
      </c>
      <c r="B159" t="str">
        <f ca="1"/>
        <v>SX</v>
      </c>
      <c r="C159" t="str">
        <f ca="1"/>
        <v>Z</v>
      </c>
      <c r="D159" t="str">
        <f ca="1"/>
        <v>R-22_D</v>
      </c>
      <c r="E159">
        <f ca="1"/>
        <v>0</v>
      </c>
      <c r="F159">
        <f ca="1"/>
        <v>0</v>
      </c>
      <c r="G159">
        <f ca="1"/>
        <v>0</v>
      </c>
      <c r="H159">
        <f ca="1"/>
        <v>0</v>
      </c>
      <c r="I159">
        <f ca="1"/>
        <v>0</v>
      </c>
      <c r="J159">
        <f ca="1"/>
        <v>79</v>
      </c>
      <c r="K159">
        <f ca="1"/>
        <v>1</v>
      </c>
      <c r="L159">
        <f ca="1"/>
        <v>696088.16943836224</v>
      </c>
      <c r="M159">
        <f ca="1"/>
        <v>7577931.825280278</v>
      </c>
      <c r="N159" t="str">
        <f ca="1"/>
        <v>R-22</v>
      </c>
      <c r="O159" t="str">
        <f ca="1"/>
        <v>R-22</v>
      </c>
      <c r="P159">
        <f ca="1"/>
        <v>1</v>
      </c>
      <c r="Q159">
        <f ca="1"/>
        <v>1.6091218262700835</v>
      </c>
      <c r="R159" s="2">
        <f ca="1"/>
        <v>3.2199999999999998</v>
      </c>
      <c r="S159">
        <f ca="1"/>
        <v>0.64000000000000012</v>
      </c>
      <c r="T159">
        <f ca="1"/>
        <v>696089.80277840304</v>
      </c>
      <c r="U159">
        <f ca="1"/>
        <v>7577931.2474392001</v>
      </c>
    </row>
    <row r="160" spans="1:21" x14ac:dyDescent="0.25">
      <c r="A160">
        <f ca="1"/>
        <v>159</v>
      </c>
      <c r="B160" t="str">
        <f ca="1"/>
        <v>CN</v>
      </c>
      <c r="C160" t="str">
        <f ca="1"/>
        <v>Z</v>
      </c>
      <c r="D160" t="str">
        <f ca="1"/>
        <v>R-22_D</v>
      </c>
      <c r="E160">
        <f ca="1"/>
        <v>0</v>
      </c>
      <c r="F160">
        <f ca="1"/>
        <v>0</v>
      </c>
      <c r="G160">
        <f ca="1"/>
        <v>0</v>
      </c>
      <c r="H160">
        <f ca="1"/>
        <v>0</v>
      </c>
      <c r="I160">
        <f ca="1"/>
        <v>0</v>
      </c>
      <c r="J160">
        <f ca="1"/>
        <v>80</v>
      </c>
      <c r="K160">
        <f ca="1"/>
        <v>0</v>
      </c>
      <c r="L160">
        <f ca="1"/>
        <v>696089.80277840304</v>
      </c>
      <c r="M160">
        <f ca="1"/>
        <v>7577931.2474392001</v>
      </c>
      <c r="N160" t="str">
        <f ca="1"/>
        <v>R-22</v>
      </c>
      <c r="O160" t="str">
        <f ca="1"/>
        <v>R-22</v>
      </c>
      <c r="P160">
        <f ca="1"/>
        <v>1</v>
      </c>
      <c r="Q160">
        <f ca="1"/>
        <v>1.6091218262700835</v>
      </c>
      <c r="R160" s="2">
        <f ca="1"/>
        <v>3.2199999999999998</v>
      </c>
      <c r="S160">
        <f ca="1"/>
        <v>0.64000000000000012</v>
      </c>
      <c r="T160">
        <f ca="1"/>
        <v>696089.80277840304</v>
      </c>
      <c r="U160">
        <f ca="1"/>
        <v>7577931.2474392001</v>
      </c>
    </row>
    <row r="161" spans="1:21" x14ac:dyDescent="0.25">
      <c r="A161">
        <f ca="1"/>
        <v>160</v>
      </c>
      <c r="B161" t="str">
        <f ca="1"/>
        <v>CN</v>
      </c>
      <c r="C161" t="str">
        <f ca="1"/>
        <v>Z</v>
      </c>
      <c r="D161" t="str">
        <f ca="1"/>
        <v>R-22_D</v>
      </c>
      <c r="E161">
        <f ca="1"/>
        <v>0</v>
      </c>
      <c r="F161">
        <f ca="1"/>
        <v>0</v>
      </c>
      <c r="G161">
        <f ca="1"/>
        <v>0</v>
      </c>
      <c r="H161">
        <f ca="1"/>
        <v>0</v>
      </c>
      <c r="I161">
        <f ca="1"/>
        <v>0</v>
      </c>
      <c r="J161">
        <f ca="1"/>
        <v>80</v>
      </c>
      <c r="K161">
        <f ca="1"/>
        <v>1</v>
      </c>
      <c r="L161">
        <f ca="1"/>
        <v>696088.16943836224</v>
      </c>
      <c r="M161">
        <f ca="1"/>
        <v>7577931.825280278</v>
      </c>
      <c r="N161" t="str">
        <f ca="1"/>
        <v>R-22</v>
      </c>
      <c r="O161" t="str">
        <f ca="1"/>
        <v>R-22</v>
      </c>
      <c r="P161">
        <f ca="1"/>
        <v>1</v>
      </c>
      <c r="Q161">
        <f ca="1"/>
        <v>1.6091218262700835</v>
      </c>
      <c r="R161" s="2">
        <f ca="1"/>
        <v>3.2199999999999998</v>
      </c>
      <c r="S161">
        <f ca="1"/>
        <v>0.64000000000000012</v>
      </c>
      <c r="T161">
        <f ca="1"/>
        <v>696089.80277840304</v>
      </c>
      <c r="U161">
        <f ca="1"/>
        <v>7577931.2474392001</v>
      </c>
    </row>
    <row r="162" spans="1:21" x14ac:dyDescent="0.25">
      <c r="A162">
        <f ca="1"/>
        <v>161</v>
      </c>
      <c r="B162" t="str">
        <f ca="1"/>
        <v>SX</v>
      </c>
      <c r="C162" t="str">
        <f ca="1"/>
        <v>Z</v>
      </c>
      <c r="D162" t="str">
        <f ca="1"/>
        <v>R-3_U</v>
      </c>
      <c r="E162">
        <f ca="1"/>
        <v>0</v>
      </c>
      <c r="F162">
        <f ca="1"/>
        <v>0</v>
      </c>
      <c r="G162">
        <f ca="1"/>
        <v>0</v>
      </c>
      <c r="H162">
        <f ca="1"/>
        <v>0</v>
      </c>
      <c r="I162">
        <f ca="1"/>
        <v>0</v>
      </c>
      <c r="J162">
        <f ca="1"/>
        <v>81</v>
      </c>
      <c r="K162">
        <f ca="1"/>
        <v>0</v>
      </c>
      <c r="L162">
        <f ca="1"/>
        <v>687970.33689947869</v>
      </c>
      <c r="M162">
        <f ca="1"/>
        <v>7566445.0332136014</v>
      </c>
      <c r="N162" t="str">
        <f ca="1"/>
        <v>R-3</v>
      </c>
      <c r="O162" t="str">
        <f ca="1"/>
        <v>R-3</v>
      </c>
      <c r="P162">
        <f ca="1"/>
        <v>0</v>
      </c>
      <c r="Q162">
        <f ca="1"/>
        <v>-1.2983764824053736</v>
      </c>
      <c r="R162" s="2">
        <f ca="1"/>
        <v>3.7239999999999998</v>
      </c>
      <c r="S162">
        <f ca="1"/>
        <v>0.64000000000000012</v>
      </c>
      <c r="T162">
        <f ca="1"/>
        <v>687971.95803359896</v>
      </c>
      <c r="U162">
        <f ca="1"/>
        <v>7566446.15060707</v>
      </c>
    </row>
    <row r="163" spans="1:21" x14ac:dyDescent="0.25">
      <c r="A163">
        <f ca="1"/>
        <v>162</v>
      </c>
      <c r="B163" t="str">
        <f ca="1"/>
        <v>SX</v>
      </c>
      <c r="C163" t="str">
        <f ca="1"/>
        <v>Z</v>
      </c>
      <c r="D163" t="str">
        <f ca="1"/>
        <v>R-3_U</v>
      </c>
      <c r="E163">
        <f ca="1"/>
        <v>0</v>
      </c>
      <c r="F163">
        <f ca="1"/>
        <v>0</v>
      </c>
      <c r="G163">
        <f ca="1"/>
        <v>0</v>
      </c>
      <c r="H163">
        <f ca="1"/>
        <v>0</v>
      </c>
      <c r="I163">
        <f ca="1"/>
        <v>0</v>
      </c>
      <c r="J163">
        <f ca="1"/>
        <v>81</v>
      </c>
      <c r="K163">
        <f ca="1"/>
        <v>1</v>
      </c>
      <c r="L163">
        <f ca="1"/>
        <v>687973.92356814048</v>
      </c>
      <c r="M163">
        <f ca="1"/>
        <v>7566446.035203577</v>
      </c>
      <c r="N163" t="str">
        <f ca="1"/>
        <v>R-3</v>
      </c>
      <c r="O163" t="str">
        <f ca="1"/>
        <v>R-3</v>
      </c>
      <c r="P163">
        <f ca="1"/>
        <v>0</v>
      </c>
      <c r="Q163">
        <f ca="1"/>
        <v>-1.2983764824053736</v>
      </c>
      <c r="R163" s="2">
        <f ca="1"/>
        <v>3.7239999999999998</v>
      </c>
      <c r="S163">
        <f ca="1"/>
        <v>0.64000000000000012</v>
      </c>
      <c r="T163">
        <f ca="1"/>
        <v>687971.95803359896</v>
      </c>
      <c r="U163">
        <f ca="1"/>
        <v>7566446.15060707</v>
      </c>
    </row>
    <row r="164" spans="1:21" x14ac:dyDescent="0.25">
      <c r="A164">
        <f ca="1"/>
        <v>163</v>
      </c>
      <c r="B164" t="str">
        <f ca="1"/>
        <v>CN</v>
      </c>
      <c r="C164" t="str">
        <f ca="1"/>
        <v>Z</v>
      </c>
      <c r="D164" t="str">
        <f ca="1"/>
        <v>R-3_U</v>
      </c>
      <c r="E164">
        <f ca="1"/>
        <v>0</v>
      </c>
      <c r="F164">
        <f ca="1"/>
        <v>0</v>
      </c>
      <c r="G164">
        <f ca="1"/>
        <v>0</v>
      </c>
      <c r="H164">
        <f ca="1"/>
        <v>0</v>
      </c>
      <c r="I164">
        <f ca="1"/>
        <v>0</v>
      </c>
      <c r="J164">
        <f ca="1"/>
        <v>82</v>
      </c>
      <c r="K164">
        <f ca="1"/>
        <v>0</v>
      </c>
      <c r="L164">
        <f ca="1"/>
        <v>687971.95803359896</v>
      </c>
      <c r="M164">
        <f ca="1"/>
        <v>7566446.15060707</v>
      </c>
      <c r="N164" t="str">
        <f ca="1"/>
        <v>R-3</v>
      </c>
      <c r="O164" t="str">
        <f ca="1"/>
        <v>R-3</v>
      </c>
      <c r="P164">
        <f ca="1"/>
        <v>0</v>
      </c>
      <c r="Q164">
        <f ca="1"/>
        <v>-1.2983764824053736</v>
      </c>
      <c r="R164" s="2">
        <f ca="1"/>
        <v>3.7239999999999998</v>
      </c>
      <c r="S164">
        <f ca="1"/>
        <v>0.64000000000000012</v>
      </c>
      <c r="T164">
        <f ca="1"/>
        <v>687971.95803359896</v>
      </c>
      <c r="U164">
        <f ca="1"/>
        <v>7566446.15060707</v>
      </c>
    </row>
    <row r="165" spans="1:21" x14ac:dyDescent="0.25">
      <c r="A165">
        <f ca="1"/>
        <v>164</v>
      </c>
      <c r="B165" t="str">
        <f ca="1"/>
        <v>CN</v>
      </c>
      <c r="C165" t="str">
        <f ca="1"/>
        <v>Z</v>
      </c>
      <c r="D165" t="str">
        <f ca="1"/>
        <v>R-3_U</v>
      </c>
      <c r="E165">
        <f ca="1"/>
        <v>0</v>
      </c>
      <c r="F165">
        <f ca="1"/>
        <v>0</v>
      </c>
      <c r="G165">
        <f ca="1"/>
        <v>0</v>
      </c>
      <c r="H165">
        <f ca="1"/>
        <v>0</v>
      </c>
      <c r="I165">
        <f ca="1"/>
        <v>0</v>
      </c>
      <c r="J165">
        <f ca="1"/>
        <v>82</v>
      </c>
      <c r="K165">
        <f ca="1"/>
        <v>1</v>
      </c>
      <c r="L165">
        <f ca="1"/>
        <v>687973.92356814048</v>
      </c>
      <c r="M165">
        <f ca="1"/>
        <v>7566446.035203577</v>
      </c>
      <c r="N165" t="str">
        <f ca="1"/>
        <v>R-3</v>
      </c>
      <c r="O165" t="str">
        <f ca="1"/>
        <v>R-3</v>
      </c>
      <c r="P165">
        <f ca="1"/>
        <v>0</v>
      </c>
      <c r="Q165">
        <f ca="1"/>
        <v>-1.2983764824053736</v>
      </c>
      <c r="R165" s="2">
        <f ca="1"/>
        <v>3.7239999999999998</v>
      </c>
      <c r="S165">
        <f ca="1"/>
        <v>0.64000000000000012</v>
      </c>
      <c r="T165">
        <f ca="1"/>
        <v>687971.95803359896</v>
      </c>
      <c r="U165">
        <f ca="1"/>
        <v>7566446.15060707</v>
      </c>
    </row>
    <row r="166" spans="1:21" x14ac:dyDescent="0.25">
      <c r="A166">
        <f ca="1"/>
        <v>165</v>
      </c>
      <c r="B166" t="str">
        <f ca="1"/>
        <v>SX</v>
      </c>
      <c r="C166" t="str">
        <f ca="1"/>
        <v>Z</v>
      </c>
      <c r="D166" t="str">
        <f ca="1"/>
        <v>R-3_D</v>
      </c>
      <c r="E166">
        <f ca="1"/>
        <v>0</v>
      </c>
      <c r="F166">
        <f ca="1"/>
        <v>0</v>
      </c>
      <c r="G166">
        <f ca="1"/>
        <v>0</v>
      </c>
      <c r="H166">
        <f ca="1"/>
        <v>0</v>
      </c>
      <c r="I166">
        <f ca="1"/>
        <v>0</v>
      </c>
      <c r="J166">
        <f ca="1"/>
        <v>83</v>
      </c>
      <c r="K166">
        <f ca="1"/>
        <v>0</v>
      </c>
      <c r="L166">
        <f ca="1"/>
        <v>687957.23288539122</v>
      </c>
      <c r="M166">
        <f ca="1"/>
        <v>7566505.7802611385</v>
      </c>
      <c r="N166" t="str">
        <f ca="1"/>
        <v>R-3</v>
      </c>
      <c r="O166" t="str">
        <f ca="1"/>
        <v>R-3</v>
      </c>
      <c r="P166">
        <f ca="1"/>
        <v>1</v>
      </c>
      <c r="Q166">
        <f ca="1"/>
        <v>1.8432161711844204</v>
      </c>
      <c r="R166" s="2">
        <f ca="1"/>
        <v>3.7239999999999998</v>
      </c>
      <c r="S166">
        <f ca="1"/>
        <v>0.64000000000000012</v>
      </c>
      <c r="T166">
        <f ca="1"/>
        <v>687955.61175127095</v>
      </c>
      <c r="U166">
        <f ca="1"/>
        <v>7566504.6628676699</v>
      </c>
    </row>
    <row r="167" spans="1:21" x14ac:dyDescent="0.25">
      <c r="A167">
        <f ca="1"/>
        <v>166</v>
      </c>
      <c r="B167" t="str">
        <f ca="1"/>
        <v>SX</v>
      </c>
      <c r="C167" t="str">
        <f ca="1"/>
        <v>Z</v>
      </c>
      <c r="D167" t="str">
        <f ca="1"/>
        <v>R-3_D</v>
      </c>
      <c r="E167">
        <f ca="1"/>
        <v>0</v>
      </c>
      <c r="F167">
        <f ca="1"/>
        <v>0</v>
      </c>
      <c r="G167">
        <f ca="1"/>
        <v>0</v>
      </c>
      <c r="H167">
        <f ca="1"/>
        <v>0</v>
      </c>
      <c r="I167">
        <f ca="1"/>
        <v>0</v>
      </c>
      <c r="J167">
        <f ca="1"/>
        <v>83</v>
      </c>
      <c r="K167">
        <f ca="1"/>
        <v>1</v>
      </c>
      <c r="L167">
        <f ca="1"/>
        <v>687953.64621672942</v>
      </c>
      <c r="M167">
        <f ca="1"/>
        <v>7566504.7782711629</v>
      </c>
      <c r="N167" t="str">
        <f ca="1"/>
        <v>R-3</v>
      </c>
      <c r="O167" t="str">
        <f ca="1"/>
        <v>R-3</v>
      </c>
      <c r="P167">
        <f ca="1"/>
        <v>1</v>
      </c>
      <c r="Q167">
        <f ca="1"/>
        <v>1.8432161711844204</v>
      </c>
      <c r="R167" s="2">
        <f ca="1"/>
        <v>3.7239999999999998</v>
      </c>
      <c r="S167">
        <f ca="1"/>
        <v>0.64000000000000012</v>
      </c>
      <c r="T167">
        <f ca="1"/>
        <v>687955.61175127095</v>
      </c>
      <c r="U167">
        <f ca="1"/>
        <v>7566504.6628676699</v>
      </c>
    </row>
    <row r="168" spans="1:21" x14ac:dyDescent="0.25">
      <c r="A168">
        <f ca="1"/>
        <v>167</v>
      </c>
      <c r="B168" t="str">
        <f ca="1"/>
        <v>CN</v>
      </c>
      <c r="C168" t="str">
        <f ca="1"/>
        <v>Z</v>
      </c>
      <c r="D168" t="str">
        <f ca="1"/>
        <v>R-3_D</v>
      </c>
      <c r="E168">
        <f ca="1"/>
        <v>0</v>
      </c>
      <c r="F168">
        <f ca="1"/>
        <v>0</v>
      </c>
      <c r="G168">
        <f ca="1"/>
        <v>0</v>
      </c>
      <c r="H168">
        <f ca="1"/>
        <v>0</v>
      </c>
      <c r="I168">
        <f ca="1"/>
        <v>0</v>
      </c>
      <c r="J168">
        <f ca="1"/>
        <v>84</v>
      </c>
      <c r="K168">
        <f ca="1"/>
        <v>0</v>
      </c>
      <c r="L168">
        <f ca="1"/>
        <v>687955.61175127095</v>
      </c>
      <c r="M168">
        <f ca="1"/>
        <v>7566504.6628676699</v>
      </c>
      <c r="N168" t="str">
        <f ca="1"/>
        <v>R-3</v>
      </c>
      <c r="O168" t="str">
        <f ca="1"/>
        <v>R-3</v>
      </c>
      <c r="P168">
        <f ca="1"/>
        <v>1</v>
      </c>
      <c r="Q168">
        <f ca="1"/>
        <v>1.8432161711844204</v>
      </c>
      <c r="R168" s="2">
        <f ca="1"/>
        <v>3.7239999999999998</v>
      </c>
      <c r="S168">
        <f ca="1"/>
        <v>0.64000000000000012</v>
      </c>
      <c r="T168">
        <f ca="1"/>
        <v>687955.61175127095</v>
      </c>
      <c r="U168">
        <f ca="1"/>
        <v>7566504.6628676699</v>
      </c>
    </row>
    <row r="169" spans="1:21" x14ac:dyDescent="0.25">
      <c r="A169">
        <f ca="1"/>
        <v>168</v>
      </c>
      <c r="B169" t="str">
        <f ca="1"/>
        <v>CN</v>
      </c>
      <c r="C169" t="str">
        <f ca="1"/>
        <v>Z</v>
      </c>
      <c r="D169" t="str">
        <f ca="1"/>
        <v>R-3_D</v>
      </c>
      <c r="E169">
        <f ca="1"/>
        <v>0</v>
      </c>
      <c r="F169">
        <f ca="1"/>
        <v>0</v>
      </c>
      <c r="G169">
        <f ca="1"/>
        <v>0</v>
      </c>
      <c r="H169">
        <f ca="1"/>
        <v>0</v>
      </c>
      <c r="I169">
        <f ca="1"/>
        <v>0</v>
      </c>
      <c r="J169">
        <f ca="1"/>
        <v>84</v>
      </c>
      <c r="K169">
        <f ca="1"/>
        <v>1</v>
      </c>
      <c r="L169">
        <f ca="1"/>
        <v>687953.64621672942</v>
      </c>
      <c r="M169">
        <f ca="1"/>
        <v>7566504.7782711629</v>
      </c>
      <c r="N169" t="str">
        <f ca="1"/>
        <v>R-3</v>
      </c>
      <c r="O169" t="str">
        <f ca="1"/>
        <v>R-3</v>
      </c>
      <c r="P169">
        <f ca="1"/>
        <v>1</v>
      </c>
      <c r="Q169">
        <f ca="1"/>
        <v>1.8432161711844204</v>
      </c>
      <c r="R169" s="2">
        <f ca="1"/>
        <v>3.7239999999999998</v>
      </c>
      <c r="S169">
        <f ca="1"/>
        <v>0.64000000000000012</v>
      </c>
      <c r="T169">
        <f ca="1"/>
        <v>687955.61175127095</v>
      </c>
      <c r="U169">
        <f ca="1"/>
        <v>7566504.6628676699</v>
      </c>
    </row>
    <row r="170" spans="1:21" x14ac:dyDescent="0.25">
      <c r="A170">
        <f ca="1"/>
        <v>169</v>
      </c>
      <c r="B170" t="str">
        <f ca="1"/>
        <v>SX</v>
      </c>
      <c r="C170" t="str">
        <f ca="1"/>
        <v>Z</v>
      </c>
      <c r="D170" t="str">
        <f ca="1"/>
        <v>R-4_U</v>
      </c>
      <c r="E170">
        <f ca="1"/>
        <v>0</v>
      </c>
      <c r="F170">
        <f ca="1"/>
        <v>0</v>
      </c>
      <c r="G170">
        <f ca="1"/>
        <v>0</v>
      </c>
      <c r="H170">
        <f ca="1"/>
        <v>0</v>
      </c>
      <c r="I170">
        <f ca="1"/>
        <v>0</v>
      </c>
      <c r="J170">
        <f ca="1"/>
        <v>85</v>
      </c>
      <c r="K170">
        <f ca="1"/>
        <v>0</v>
      </c>
      <c r="L170">
        <f ca="1"/>
        <v>688862.29914561333</v>
      </c>
      <c r="M170">
        <f ca="1"/>
        <v>7566883.4773128387</v>
      </c>
      <c r="N170" t="str">
        <f ca="1"/>
        <v>R-4</v>
      </c>
      <c r="O170" t="str">
        <f ca="1"/>
        <v>R-4</v>
      </c>
      <c r="P170">
        <f ca="1"/>
        <v>0</v>
      </c>
      <c r="Q170">
        <f ca="1"/>
        <v>-1.8363568360466447</v>
      </c>
      <c r="R170" s="2">
        <f ca="1"/>
        <v>2.2119999999999997</v>
      </c>
      <c r="S170">
        <f ca="1"/>
        <v>0.64000000000000012</v>
      </c>
      <c r="T170">
        <f ca="1"/>
        <v>688863.53434349701</v>
      </c>
      <c r="U170">
        <f ca="1"/>
        <v>7566883.8046081001</v>
      </c>
    </row>
    <row r="171" spans="1:21" x14ac:dyDescent="0.25">
      <c r="A171">
        <f ca="1"/>
        <v>170</v>
      </c>
      <c r="B171" t="str">
        <f ca="1"/>
        <v>SX</v>
      </c>
      <c r="C171" t="str">
        <f ca="1"/>
        <v>Z</v>
      </c>
      <c r="D171" t="str">
        <f ca="1"/>
        <v>R-4_U</v>
      </c>
      <c r="E171">
        <f ca="1"/>
        <v>0</v>
      </c>
      <c r="F171">
        <f ca="1"/>
        <v>0</v>
      </c>
      <c r="G171">
        <f ca="1"/>
        <v>0</v>
      </c>
      <c r="H171">
        <f ca="1"/>
        <v>0</v>
      </c>
      <c r="I171">
        <f ca="1"/>
        <v>0</v>
      </c>
      <c r="J171">
        <f ca="1"/>
        <v>85</v>
      </c>
      <c r="K171">
        <f ca="1"/>
        <v>1</v>
      </c>
      <c r="L171">
        <f ca="1"/>
        <v>688864.43360516278</v>
      </c>
      <c r="M171">
        <f ca="1"/>
        <v>7566882.8967730617</v>
      </c>
      <c r="N171" t="str">
        <f ca="1"/>
        <v>R-4</v>
      </c>
      <c r="O171" t="str">
        <f ca="1"/>
        <v>R-4</v>
      </c>
      <c r="P171">
        <f ca="1"/>
        <v>0</v>
      </c>
      <c r="Q171">
        <f ca="1"/>
        <v>-1.8363568360466447</v>
      </c>
      <c r="R171" s="2">
        <f ca="1"/>
        <v>2.2119999999999997</v>
      </c>
      <c r="S171">
        <f ca="1"/>
        <v>0.64000000000000012</v>
      </c>
      <c r="T171">
        <f ca="1"/>
        <v>688863.53434349701</v>
      </c>
      <c r="U171">
        <f ca="1"/>
        <v>7566883.8046081001</v>
      </c>
    </row>
    <row r="172" spans="1:21" x14ac:dyDescent="0.25">
      <c r="A172">
        <f ca="1"/>
        <v>171</v>
      </c>
      <c r="B172" t="str">
        <f ca="1"/>
        <v>CN</v>
      </c>
      <c r="C172" t="str">
        <f ca="1"/>
        <v>Z</v>
      </c>
      <c r="D172" t="str">
        <f ca="1"/>
        <v>R-4_U</v>
      </c>
      <c r="E172">
        <f ca="1"/>
        <v>0</v>
      </c>
      <c r="F172">
        <f ca="1"/>
        <v>0</v>
      </c>
      <c r="G172">
        <f ca="1"/>
        <v>0</v>
      </c>
      <c r="H172">
        <f ca="1"/>
        <v>0</v>
      </c>
      <c r="I172">
        <f ca="1"/>
        <v>0</v>
      </c>
      <c r="J172">
        <f ca="1"/>
        <v>86</v>
      </c>
      <c r="K172">
        <f ca="1"/>
        <v>0</v>
      </c>
      <c r="L172">
        <f ca="1"/>
        <v>688863.53434349701</v>
      </c>
      <c r="M172">
        <f ca="1"/>
        <v>7566883.8046081001</v>
      </c>
      <c r="N172" t="str">
        <f ca="1"/>
        <v>R-4</v>
      </c>
      <c r="O172" t="str">
        <f ca="1"/>
        <v>R-4</v>
      </c>
      <c r="P172">
        <f ca="1"/>
        <v>0</v>
      </c>
      <c r="Q172">
        <f ca="1"/>
        <v>-1.8363568360466447</v>
      </c>
      <c r="R172" s="2">
        <f ca="1"/>
        <v>2.2119999999999997</v>
      </c>
      <c r="S172">
        <f ca="1"/>
        <v>0.64000000000000012</v>
      </c>
      <c r="T172">
        <f ca="1"/>
        <v>688863.53434349701</v>
      </c>
      <c r="U172">
        <f ca="1"/>
        <v>7566883.8046081001</v>
      </c>
    </row>
    <row r="173" spans="1:21" x14ac:dyDescent="0.25">
      <c r="A173">
        <f ca="1"/>
        <v>172</v>
      </c>
      <c r="B173" t="str">
        <f ca="1"/>
        <v>CN</v>
      </c>
      <c r="C173" t="str">
        <f ca="1"/>
        <v>Z</v>
      </c>
      <c r="D173" t="str">
        <f ca="1"/>
        <v>R-4_U</v>
      </c>
      <c r="E173">
        <f ca="1"/>
        <v>0</v>
      </c>
      <c r="F173">
        <f ca="1"/>
        <v>0</v>
      </c>
      <c r="G173">
        <f ca="1"/>
        <v>0</v>
      </c>
      <c r="H173">
        <f ca="1"/>
        <v>0</v>
      </c>
      <c r="I173">
        <f ca="1"/>
        <v>0</v>
      </c>
      <c r="J173">
        <f ca="1"/>
        <v>86</v>
      </c>
      <c r="K173">
        <f ca="1"/>
        <v>1</v>
      </c>
      <c r="L173">
        <f ca="1"/>
        <v>688864.43360516278</v>
      </c>
      <c r="M173">
        <f ca="1"/>
        <v>7566882.8967730617</v>
      </c>
      <c r="N173" t="str">
        <f ca="1"/>
        <v>R-4</v>
      </c>
      <c r="O173" t="str">
        <f ca="1"/>
        <v>R-4</v>
      </c>
      <c r="P173">
        <f ca="1"/>
        <v>0</v>
      </c>
      <c r="Q173">
        <f ca="1"/>
        <v>-1.8363568360466447</v>
      </c>
      <c r="R173" s="2">
        <f ca="1"/>
        <v>2.2119999999999997</v>
      </c>
      <c r="S173">
        <f ca="1"/>
        <v>0.64000000000000012</v>
      </c>
      <c r="T173">
        <f ca="1"/>
        <v>688863.53434349701</v>
      </c>
      <c r="U173">
        <f ca="1"/>
        <v>7566883.8046081001</v>
      </c>
    </row>
    <row r="174" spans="1:21" x14ac:dyDescent="0.25">
      <c r="A174">
        <f ca="1"/>
        <v>173</v>
      </c>
      <c r="B174" t="str">
        <f ca="1"/>
        <v>SX</v>
      </c>
      <c r="C174" t="str">
        <f ca="1"/>
        <v>Z</v>
      </c>
      <c r="D174" t="str">
        <f ca="1"/>
        <v>R-4_D</v>
      </c>
      <c r="E174">
        <f ca="1"/>
        <v>0</v>
      </c>
      <c r="F174">
        <f ca="1"/>
        <v>0</v>
      </c>
      <c r="G174">
        <f ca="1"/>
        <v>0</v>
      </c>
      <c r="H174">
        <f ca="1"/>
        <v>0</v>
      </c>
      <c r="I174">
        <f ca="1"/>
        <v>0</v>
      </c>
      <c r="J174">
        <f ca="1"/>
        <v>87</v>
      </c>
      <c r="K174">
        <f ca="1"/>
        <v>0</v>
      </c>
      <c r="L174">
        <f ca="1"/>
        <v>688882.86272978364</v>
      </c>
      <c r="M174">
        <f ca="1"/>
        <v>7566950.654784861</v>
      </c>
      <c r="N174" t="str">
        <f ca="1"/>
        <v>R-4</v>
      </c>
      <c r="O174" t="str">
        <f ca="1"/>
        <v>R-4</v>
      </c>
      <c r="P174">
        <f ca="1"/>
        <v>1</v>
      </c>
      <c r="Q174">
        <f ca="1"/>
        <v>1.3052358175431484</v>
      </c>
      <c r="R174" s="2">
        <f ca="1"/>
        <v>2.2119999999999997</v>
      </c>
      <c r="S174">
        <f ca="1"/>
        <v>0.64000000000000012</v>
      </c>
      <c r="T174">
        <f ca="1"/>
        <v>688881.62753189995</v>
      </c>
      <c r="U174">
        <f ca="1"/>
        <v>7566950.3274895996</v>
      </c>
    </row>
    <row r="175" spans="1:21" x14ac:dyDescent="0.25">
      <c r="A175">
        <f ca="1"/>
        <v>174</v>
      </c>
      <c r="B175" t="str">
        <f ca="1"/>
        <v>SX</v>
      </c>
      <c r="C175" t="str">
        <f ca="1"/>
        <v>Z</v>
      </c>
      <c r="D175" t="str">
        <f ca="1"/>
        <v>R-4_D</v>
      </c>
      <c r="E175">
        <f ca="1"/>
        <v>0</v>
      </c>
      <c r="F175">
        <f ca="1"/>
        <v>0</v>
      </c>
      <c r="G175">
        <f ca="1"/>
        <v>0</v>
      </c>
      <c r="H175">
        <f ca="1"/>
        <v>0</v>
      </c>
      <c r="I175">
        <f ca="1"/>
        <v>0</v>
      </c>
      <c r="J175">
        <f ca="1"/>
        <v>87</v>
      </c>
      <c r="K175">
        <f ca="1"/>
        <v>1</v>
      </c>
      <c r="L175">
        <f ca="1"/>
        <v>688880.72827023419</v>
      </c>
      <c r="M175">
        <f ca="1"/>
        <v>7566951.235324638</v>
      </c>
      <c r="N175" t="str">
        <f ca="1"/>
        <v>R-4</v>
      </c>
      <c r="O175" t="str">
        <f ca="1"/>
        <v>R-4</v>
      </c>
      <c r="P175">
        <f ca="1"/>
        <v>1</v>
      </c>
      <c r="Q175">
        <f ca="1"/>
        <v>1.3052358175431484</v>
      </c>
      <c r="R175" s="2">
        <f ca="1"/>
        <v>2.2119999999999997</v>
      </c>
      <c r="S175">
        <f ca="1"/>
        <v>0.64000000000000012</v>
      </c>
      <c r="T175">
        <f ca="1"/>
        <v>688881.62753189995</v>
      </c>
      <c r="U175">
        <f ca="1"/>
        <v>7566950.3274895996</v>
      </c>
    </row>
    <row r="176" spans="1:21" x14ac:dyDescent="0.25">
      <c r="A176">
        <f ca="1"/>
        <v>175</v>
      </c>
      <c r="B176" t="str">
        <f ca="1"/>
        <v>CN</v>
      </c>
      <c r="C176" t="str">
        <f ca="1"/>
        <v>Z</v>
      </c>
      <c r="D176" t="str">
        <f ca="1"/>
        <v>R-4_D</v>
      </c>
      <c r="E176">
        <f ca="1"/>
        <v>0</v>
      </c>
      <c r="F176">
        <f ca="1"/>
        <v>0</v>
      </c>
      <c r="G176">
        <f ca="1"/>
        <v>0</v>
      </c>
      <c r="H176">
        <f ca="1"/>
        <v>0</v>
      </c>
      <c r="I176">
        <f ca="1"/>
        <v>0</v>
      </c>
      <c r="J176">
        <f ca="1"/>
        <v>88</v>
      </c>
      <c r="K176">
        <f ca="1"/>
        <v>0</v>
      </c>
      <c r="L176">
        <f ca="1"/>
        <v>688881.62753189995</v>
      </c>
      <c r="M176">
        <f ca="1"/>
        <v>7566950.3274895996</v>
      </c>
      <c r="N176" t="str">
        <f ca="1"/>
        <v>R-4</v>
      </c>
      <c r="O176" t="str">
        <f ca="1"/>
        <v>R-4</v>
      </c>
      <c r="P176">
        <f ca="1"/>
        <v>1</v>
      </c>
      <c r="Q176">
        <f ca="1"/>
        <v>1.3052358175431484</v>
      </c>
      <c r="R176" s="2">
        <f ca="1"/>
        <v>2.2119999999999997</v>
      </c>
      <c r="S176">
        <f ca="1"/>
        <v>0.64000000000000012</v>
      </c>
      <c r="T176">
        <f ca="1"/>
        <v>688881.62753189995</v>
      </c>
      <c r="U176">
        <f ca="1"/>
        <v>7566950.3274895996</v>
      </c>
    </row>
    <row r="177" spans="1:21" x14ac:dyDescent="0.25">
      <c r="A177">
        <f ca="1"/>
        <v>176</v>
      </c>
      <c r="B177" t="str">
        <f ca="1"/>
        <v>CN</v>
      </c>
      <c r="C177" t="str">
        <f ca="1"/>
        <v>Z</v>
      </c>
      <c r="D177" t="str">
        <f ca="1"/>
        <v>R-4_D</v>
      </c>
      <c r="E177">
        <f ca="1"/>
        <v>0</v>
      </c>
      <c r="F177">
        <f ca="1"/>
        <v>0</v>
      </c>
      <c r="G177">
        <f ca="1"/>
        <v>0</v>
      </c>
      <c r="H177">
        <f ca="1"/>
        <v>0</v>
      </c>
      <c r="I177">
        <f ca="1"/>
        <v>0</v>
      </c>
      <c r="J177">
        <f ca="1"/>
        <v>88</v>
      </c>
      <c r="K177">
        <f ca="1"/>
        <v>1</v>
      </c>
      <c r="L177">
        <f ca="1"/>
        <v>688880.72827023419</v>
      </c>
      <c r="M177">
        <f ca="1"/>
        <v>7566951.235324638</v>
      </c>
      <c r="N177" t="str">
        <f ca="1"/>
        <v>R-4</v>
      </c>
      <c r="O177" t="str">
        <f ca="1"/>
        <v>R-4</v>
      </c>
      <c r="P177">
        <f ca="1"/>
        <v>1</v>
      </c>
      <c r="Q177">
        <f ca="1"/>
        <v>1.3052358175431484</v>
      </c>
      <c r="R177" s="2">
        <f ca="1"/>
        <v>2.2119999999999997</v>
      </c>
      <c r="S177">
        <f ca="1"/>
        <v>0.64000000000000012</v>
      </c>
      <c r="T177">
        <f ca="1"/>
        <v>688881.62753189995</v>
      </c>
      <c r="U177">
        <f ca="1"/>
        <v>7566950.3274895996</v>
      </c>
    </row>
    <row r="178" spans="1:21" x14ac:dyDescent="0.25">
      <c r="A178">
        <f ca="1"/>
        <v>177</v>
      </c>
      <c r="B178" t="str">
        <f ca="1"/>
        <v>SX</v>
      </c>
      <c r="C178" t="str">
        <f ca="1"/>
        <v>Z</v>
      </c>
      <c r="D178" t="str">
        <f ca="1"/>
        <v>R-5_U</v>
      </c>
      <c r="E178">
        <f ca="1"/>
        <v>0</v>
      </c>
      <c r="F178">
        <f ca="1"/>
        <v>0</v>
      </c>
      <c r="G178">
        <f ca="1"/>
        <v>0</v>
      </c>
      <c r="H178">
        <f ca="1"/>
        <v>0</v>
      </c>
      <c r="I178">
        <f ca="1"/>
        <v>0</v>
      </c>
      <c r="J178">
        <f ca="1"/>
        <v>89</v>
      </c>
      <c r="K178">
        <f ca="1"/>
        <v>0</v>
      </c>
      <c r="L178">
        <f ca="1"/>
        <v>689064.10033514048</v>
      </c>
      <c r="M178">
        <f ca="1"/>
        <v>7566961.1082172068</v>
      </c>
      <c r="N178" t="str">
        <f ca="1"/>
        <v>R-5</v>
      </c>
      <c r="O178" t="str">
        <f ca="1"/>
        <v>R-5</v>
      </c>
      <c r="P178">
        <f ca="1"/>
        <v>0</v>
      </c>
      <c r="Q178">
        <f ca="1"/>
        <v>-1.2311265436362255</v>
      </c>
      <c r="R178" s="2">
        <f ca="1"/>
        <v>2.2119999999999997</v>
      </c>
      <c r="S178">
        <f ca="1"/>
        <v>0.64000000000000012</v>
      </c>
      <c r="T178">
        <f ca="1"/>
        <v>689064.92991105304</v>
      </c>
      <c r="U178">
        <f ca="1"/>
        <v>7566962.0801430298</v>
      </c>
    </row>
    <row r="179" spans="1:21" x14ac:dyDescent="0.25">
      <c r="A179">
        <f ca="1"/>
        <v>178</v>
      </c>
      <c r="B179" t="str">
        <f ca="1"/>
        <v>SX</v>
      </c>
      <c r="C179" t="str">
        <f ca="1"/>
        <v>Z</v>
      </c>
      <c r="D179" t="str">
        <f ca="1"/>
        <v>R-5_U</v>
      </c>
      <c r="E179">
        <f ca="1"/>
        <v>0</v>
      </c>
      <c r="F179">
        <f ca="1"/>
        <v>0</v>
      </c>
      <c r="G179">
        <f ca="1"/>
        <v>0</v>
      </c>
      <c r="H179">
        <f ca="1"/>
        <v>0</v>
      </c>
      <c r="I179">
        <f ca="1"/>
        <v>0</v>
      </c>
      <c r="J179">
        <f ca="1"/>
        <v>89</v>
      </c>
      <c r="K179">
        <f ca="1"/>
        <v>1</v>
      </c>
      <c r="L179">
        <f ca="1"/>
        <v>689066.18595193909</v>
      </c>
      <c r="M179">
        <f ca="1"/>
        <v>7566961.8452019887</v>
      </c>
      <c r="N179" t="str">
        <f ca="1"/>
        <v>R-5</v>
      </c>
      <c r="O179" t="str">
        <f ca="1"/>
        <v>R-5</v>
      </c>
      <c r="P179">
        <f ca="1"/>
        <v>0</v>
      </c>
      <c r="Q179">
        <f ca="1"/>
        <v>-1.2311265436362255</v>
      </c>
      <c r="R179" s="2">
        <f ca="1"/>
        <v>2.2119999999999997</v>
      </c>
      <c r="S179">
        <f ca="1"/>
        <v>0.64000000000000012</v>
      </c>
      <c r="T179">
        <f ca="1"/>
        <v>689064.92991105304</v>
      </c>
      <c r="U179">
        <f ca="1"/>
        <v>7566962.0801430298</v>
      </c>
    </row>
    <row r="180" spans="1:21" x14ac:dyDescent="0.25">
      <c r="A180">
        <f ca="1"/>
        <v>179</v>
      </c>
      <c r="B180" t="str">
        <f ca="1"/>
        <v>CN</v>
      </c>
      <c r="C180" t="str">
        <f ca="1"/>
        <v>Z</v>
      </c>
      <c r="D180" t="str">
        <f ca="1"/>
        <v>R-5_U</v>
      </c>
      <c r="E180">
        <f ca="1"/>
        <v>0</v>
      </c>
      <c r="F180">
        <f ca="1"/>
        <v>0</v>
      </c>
      <c r="G180">
        <f ca="1"/>
        <v>0</v>
      </c>
      <c r="H180">
        <f ca="1"/>
        <v>0</v>
      </c>
      <c r="I180">
        <f ca="1"/>
        <v>0</v>
      </c>
      <c r="J180">
        <f ca="1"/>
        <v>90</v>
      </c>
      <c r="K180">
        <f ca="1"/>
        <v>0</v>
      </c>
      <c r="L180">
        <f ca="1"/>
        <v>689064.92991105304</v>
      </c>
      <c r="M180">
        <f ca="1"/>
        <v>7566962.0801430298</v>
      </c>
      <c r="N180" t="str">
        <f ca="1"/>
        <v>R-5</v>
      </c>
      <c r="O180" t="str">
        <f ca="1"/>
        <v>R-5</v>
      </c>
      <c r="P180">
        <f ca="1"/>
        <v>0</v>
      </c>
      <c r="Q180">
        <f ca="1"/>
        <v>-1.2311265436362255</v>
      </c>
      <c r="R180" s="2">
        <f ca="1"/>
        <v>2.2119999999999997</v>
      </c>
      <c r="S180">
        <f ca="1"/>
        <v>0.64000000000000012</v>
      </c>
      <c r="T180">
        <f ca="1"/>
        <v>689064.92991105304</v>
      </c>
      <c r="U180">
        <f ca="1"/>
        <v>7566962.0801430298</v>
      </c>
    </row>
    <row r="181" spans="1:21" x14ac:dyDescent="0.25">
      <c r="A181">
        <f ca="1"/>
        <v>180</v>
      </c>
      <c r="B181" t="str">
        <f ca="1"/>
        <v>CN</v>
      </c>
      <c r="C181" t="str">
        <f ca="1"/>
        <v>Z</v>
      </c>
      <c r="D181" t="str">
        <f ca="1"/>
        <v>R-5_U</v>
      </c>
      <c r="E181">
        <f ca="1"/>
        <v>0</v>
      </c>
      <c r="F181">
        <f ca="1"/>
        <v>0</v>
      </c>
      <c r="G181">
        <f ca="1"/>
        <v>0</v>
      </c>
      <c r="H181">
        <f ca="1"/>
        <v>0</v>
      </c>
      <c r="I181">
        <f ca="1"/>
        <v>0</v>
      </c>
      <c r="J181">
        <f ca="1"/>
        <v>90</v>
      </c>
      <c r="K181">
        <f ca="1"/>
        <v>1</v>
      </c>
      <c r="L181">
        <f ca="1"/>
        <v>689066.18595193909</v>
      </c>
      <c r="M181">
        <f ca="1"/>
        <v>7566961.8452019887</v>
      </c>
      <c r="N181" t="str">
        <f ca="1"/>
        <v>R-5</v>
      </c>
      <c r="O181" t="str">
        <f ca="1"/>
        <v>R-5</v>
      </c>
      <c r="P181">
        <f ca="1"/>
        <v>0</v>
      </c>
      <c r="Q181">
        <f ca="1"/>
        <v>-1.2311265436362255</v>
      </c>
      <c r="R181" s="2">
        <f ca="1"/>
        <v>2.2119999999999997</v>
      </c>
      <c r="S181">
        <f ca="1"/>
        <v>0.64000000000000012</v>
      </c>
      <c r="T181">
        <f ca="1"/>
        <v>689064.92991105304</v>
      </c>
      <c r="U181">
        <f ca="1"/>
        <v>7566962.0801430298</v>
      </c>
    </row>
    <row r="182" spans="1:21" x14ac:dyDescent="0.25">
      <c r="A182">
        <f ca="1"/>
        <v>181</v>
      </c>
      <c r="B182" t="str">
        <f ca="1"/>
        <v>SX</v>
      </c>
      <c r="C182" t="str">
        <f ca="1"/>
        <v>Z</v>
      </c>
      <c r="D182" t="str">
        <f ca="1"/>
        <v>R-5_D</v>
      </c>
      <c r="E182">
        <f ca="1"/>
        <v>0</v>
      </c>
      <c r="F182">
        <f ca="1"/>
        <v>0</v>
      </c>
      <c r="G182">
        <f ca="1"/>
        <v>0</v>
      </c>
      <c r="H182">
        <f ca="1"/>
        <v>0</v>
      </c>
      <c r="I182">
        <f ca="1"/>
        <v>0</v>
      </c>
      <c r="J182">
        <f ca="1"/>
        <v>91</v>
      </c>
      <c r="K182">
        <f ca="1"/>
        <v>0</v>
      </c>
      <c r="L182">
        <f ca="1"/>
        <v>689052.10662615753</v>
      </c>
      <c r="M182">
        <f ca="1"/>
        <v>7567001.6887361733</v>
      </c>
      <c r="N182" t="str">
        <f ca="1"/>
        <v>R-5</v>
      </c>
      <c r="O182" t="str">
        <f ca="1"/>
        <v>R-5</v>
      </c>
      <c r="P182">
        <f ca="1"/>
        <v>1</v>
      </c>
      <c r="Q182">
        <f ca="1"/>
        <v>1.9104661099535667</v>
      </c>
      <c r="R182" s="2">
        <f ca="1"/>
        <v>2.2119999999999997</v>
      </c>
      <c r="S182">
        <f ca="1"/>
        <v>0.64000000000000012</v>
      </c>
      <c r="T182">
        <f ca="1"/>
        <v>689051.27705024497</v>
      </c>
      <c r="U182">
        <f ca="1"/>
        <v>7567000.7168103503</v>
      </c>
    </row>
    <row r="183" spans="1:21" x14ac:dyDescent="0.25">
      <c r="A183">
        <f ca="1"/>
        <v>182</v>
      </c>
      <c r="B183" t="str">
        <f ca="1"/>
        <v>SX</v>
      </c>
      <c r="C183" t="str">
        <f ca="1"/>
        <v>Z</v>
      </c>
      <c r="D183" t="str">
        <f ca="1"/>
        <v>R-5_D</v>
      </c>
      <c r="E183">
        <f ca="1"/>
        <v>0</v>
      </c>
      <c r="F183">
        <f ca="1"/>
        <v>0</v>
      </c>
      <c r="G183">
        <f ca="1"/>
        <v>0</v>
      </c>
      <c r="H183">
        <f ca="1"/>
        <v>0</v>
      </c>
      <c r="I183">
        <f ca="1"/>
        <v>0</v>
      </c>
      <c r="J183">
        <f ca="1"/>
        <v>91</v>
      </c>
      <c r="K183">
        <f ca="1"/>
        <v>1</v>
      </c>
      <c r="L183">
        <f ca="1"/>
        <v>689050.02100935893</v>
      </c>
      <c r="M183">
        <f ca="1"/>
        <v>7567000.9517513914</v>
      </c>
      <c r="N183" t="str">
        <f ca="1"/>
        <v>R-5</v>
      </c>
      <c r="O183" t="str">
        <f ca="1"/>
        <v>R-5</v>
      </c>
      <c r="P183">
        <f ca="1"/>
        <v>1</v>
      </c>
      <c r="Q183">
        <f ca="1"/>
        <v>1.9104661099535667</v>
      </c>
      <c r="R183" s="2">
        <f ca="1"/>
        <v>2.2119999999999997</v>
      </c>
      <c r="S183">
        <f ca="1"/>
        <v>0.64000000000000012</v>
      </c>
      <c r="T183">
        <f ca="1"/>
        <v>689051.27705024497</v>
      </c>
      <c r="U183">
        <f ca="1"/>
        <v>7567000.7168103503</v>
      </c>
    </row>
    <row r="184" spans="1:21" x14ac:dyDescent="0.25">
      <c r="A184">
        <f ca="1"/>
        <v>183</v>
      </c>
      <c r="B184" t="str">
        <f ca="1"/>
        <v>CN</v>
      </c>
      <c r="C184" t="str">
        <f ca="1"/>
        <v>Z</v>
      </c>
      <c r="D184" t="str">
        <f ca="1"/>
        <v>R-5_D</v>
      </c>
      <c r="E184">
        <f ca="1"/>
        <v>0</v>
      </c>
      <c r="F184">
        <f ca="1"/>
        <v>0</v>
      </c>
      <c r="G184">
        <f ca="1"/>
        <v>0</v>
      </c>
      <c r="H184">
        <f ca="1"/>
        <v>0</v>
      </c>
      <c r="I184">
        <f ca="1"/>
        <v>0</v>
      </c>
      <c r="J184">
        <f ca="1"/>
        <v>92</v>
      </c>
      <c r="K184">
        <f ca="1"/>
        <v>0</v>
      </c>
      <c r="L184">
        <f ca="1"/>
        <v>689051.27705024497</v>
      </c>
      <c r="M184">
        <f ca="1"/>
        <v>7567000.7168103503</v>
      </c>
      <c r="N184" t="str">
        <f ca="1"/>
        <v>R-5</v>
      </c>
      <c r="O184" t="str">
        <f ca="1"/>
        <v>R-5</v>
      </c>
      <c r="P184">
        <f ca="1"/>
        <v>1</v>
      </c>
      <c r="Q184">
        <f ca="1"/>
        <v>1.9104661099535667</v>
      </c>
      <c r="R184" s="2">
        <f ca="1"/>
        <v>2.2119999999999997</v>
      </c>
      <c r="S184">
        <f ca="1"/>
        <v>0.64000000000000012</v>
      </c>
      <c r="T184">
        <f ca="1"/>
        <v>689051.27705024497</v>
      </c>
      <c r="U184">
        <f ca="1"/>
        <v>7567000.7168103503</v>
      </c>
    </row>
    <row r="185" spans="1:21" x14ac:dyDescent="0.25">
      <c r="A185">
        <f ca="1"/>
        <v>184</v>
      </c>
      <c r="B185" t="str">
        <f ca="1"/>
        <v>CN</v>
      </c>
      <c r="C185" t="str">
        <f ca="1"/>
        <v>Z</v>
      </c>
      <c r="D185" t="str">
        <f ca="1"/>
        <v>R-5_D</v>
      </c>
      <c r="E185">
        <f ca="1"/>
        <v>0</v>
      </c>
      <c r="F185">
        <f ca="1"/>
        <v>0</v>
      </c>
      <c r="G185">
        <f ca="1"/>
        <v>0</v>
      </c>
      <c r="H185">
        <f ca="1"/>
        <v>0</v>
      </c>
      <c r="I185">
        <f ca="1"/>
        <v>0</v>
      </c>
      <c r="J185">
        <f ca="1"/>
        <v>92</v>
      </c>
      <c r="K185">
        <f ca="1"/>
        <v>1</v>
      </c>
      <c r="L185">
        <f ca="1"/>
        <v>689050.02100935893</v>
      </c>
      <c r="M185">
        <f ca="1"/>
        <v>7567000.9517513914</v>
      </c>
      <c r="N185" t="str">
        <f ca="1"/>
        <v>R-5</v>
      </c>
      <c r="O185" t="str">
        <f ca="1"/>
        <v>R-5</v>
      </c>
      <c r="P185">
        <f ca="1"/>
        <v>1</v>
      </c>
      <c r="Q185">
        <f ca="1"/>
        <v>1.9104661099535667</v>
      </c>
      <c r="R185" s="2">
        <f ca="1"/>
        <v>2.2119999999999997</v>
      </c>
      <c r="S185">
        <f ca="1"/>
        <v>0.64000000000000012</v>
      </c>
      <c r="T185">
        <f ca="1"/>
        <v>689051.27705024497</v>
      </c>
      <c r="U185">
        <f ca="1"/>
        <v>7567000.7168103503</v>
      </c>
    </row>
    <row r="186" spans="1:21" x14ac:dyDescent="0.25">
      <c r="A186">
        <f ca="1"/>
        <v>185</v>
      </c>
      <c r="B186" t="str">
        <f ca="1"/>
        <v>SX</v>
      </c>
      <c r="C186" t="str">
        <f ca="1"/>
        <v>Z</v>
      </c>
      <c r="D186" t="str">
        <f ca="1"/>
        <v>R-6_U</v>
      </c>
      <c r="E186">
        <f ca="1"/>
        <v>0</v>
      </c>
      <c r="F186">
        <f ca="1"/>
        <v>0</v>
      </c>
      <c r="G186">
        <f ca="1"/>
        <v>0</v>
      </c>
      <c r="H186">
        <f ca="1"/>
        <v>0</v>
      </c>
      <c r="I186">
        <f ca="1"/>
        <v>0</v>
      </c>
      <c r="J186">
        <f ca="1"/>
        <v>93</v>
      </c>
      <c r="K186">
        <f ca="1"/>
        <v>0</v>
      </c>
      <c r="L186">
        <f ca="1"/>
        <v>689864.95652302273</v>
      </c>
      <c r="M186">
        <f ca="1"/>
        <v>7567407.0247388957</v>
      </c>
      <c r="N186" t="str">
        <f ca="1"/>
        <v>R-6</v>
      </c>
      <c r="O186" t="str">
        <f ca="1"/>
        <v>R-6</v>
      </c>
      <c r="P186">
        <f ca="1"/>
        <v>0</v>
      </c>
      <c r="Q186">
        <f ca="1"/>
        <v>-0.71665051284015391</v>
      </c>
      <c r="R186" s="2">
        <f ca="1"/>
        <v>21.867999999999999</v>
      </c>
      <c r="S186">
        <f ca="1"/>
        <v>0.64000000000000012</v>
      </c>
      <c r="T186">
        <f ca="1"/>
        <v>689871.65609456401</v>
      </c>
      <c r="U186">
        <f ca="1"/>
        <v>7567415.6894776197</v>
      </c>
    </row>
    <row r="187" spans="1:21" x14ac:dyDescent="0.25">
      <c r="A187">
        <f ca="1"/>
        <v>186</v>
      </c>
      <c r="B187" t="str">
        <f ca="1"/>
        <v>SX</v>
      </c>
      <c r="C187" t="str">
        <f ca="1"/>
        <v>Z</v>
      </c>
      <c r="D187" t="str">
        <f ca="1"/>
        <v>R-6_U</v>
      </c>
      <c r="E187">
        <f ca="1"/>
        <v>0</v>
      </c>
      <c r="F187">
        <f ca="1"/>
        <v>0</v>
      </c>
      <c r="G187">
        <f ca="1"/>
        <v>0</v>
      </c>
      <c r="H187">
        <f ca="1"/>
        <v>0</v>
      </c>
      <c r="I187">
        <f ca="1"/>
        <v>0</v>
      </c>
      <c r="J187">
        <f ca="1"/>
        <v>93</v>
      </c>
      <c r="K187">
        <f ca="1"/>
        <v>1</v>
      </c>
      <c r="L187">
        <f ca="1"/>
        <v>689879.32079904387</v>
      </c>
      <c r="M187">
        <f ca="1"/>
        <v>7567423.5134319421</v>
      </c>
      <c r="N187" t="str">
        <f ca="1"/>
        <v>R-6</v>
      </c>
      <c r="O187" t="str">
        <f ca="1"/>
        <v>R-6</v>
      </c>
      <c r="P187">
        <f ca="1"/>
        <v>0</v>
      </c>
      <c r="Q187">
        <f ca="1"/>
        <v>-0.71665051284015391</v>
      </c>
      <c r="R187" s="2">
        <f ca="1"/>
        <v>21.867999999999999</v>
      </c>
      <c r="S187">
        <f ca="1"/>
        <v>0.64000000000000012</v>
      </c>
      <c r="T187">
        <f ca="1"/>
        <v>689871.65609456401</v>
      </c>
      <c r="U187">
        <f ca="1"/>
        <v>7567415.6894776197</v>
      </c>
    </row>
    <row r="188" spans="1:21" x14ac:dyDescent="0.25">
      <c r="A188">
        <f ca="1"/>
        <v>187</v>
      </c>
      <c r="B188" t="str">
        <f ca="1"/>
        <v>CN</v>
      </c>
      <c r="C188" t="str">
        <f ca="1"/>
        <v>Z</v>
      </c>
      <c r="D188" t="str">
        <f ca="1"/>
        <v>R-6_U</v>
      </c>
      <c r="E188">
        <f ca="1"/>
        <v>0</v>
      </c>
      <c r="F188">
        <f ca="1"/>
        <v>0</v>
      </c>
      <c r="G188">
        <f ca="1"/>
        <v>0</v>
      </c>
      <c r="H188">
        <f ca="1"/>
        <v>0</v>
      </c>
      <c r="I188">
        <f ca="1"/>
        <v>0</v>
      </c>
      <c r="J188">
        <f ca="1"/>
        <v>94</v>
      </c>
      <c r="K188">
        <f ca="1"/>
        <v>0</v>
      </c>
      <c r="L188">
        <f ca="1"/>
        <v>689871.65609456401</v>
      </c>
      <c r="M188">
        <f ca="1"/>
        <v>7567415.6894776197</v>
      </c>
      <c r="N188" t="str">
        <f ca="1"/>
        <v>R-6</v>
      </c>
      <c r="O188" t="str">
        <f ca="1"/>
        <v>R-6</v>
      </c>
      <c r="P188">
        <f ca="1"/>
        <v>0</v>
      </c>
      <c r="Q188">
        <f ca="1"/>
        <v>-0.71665051284015391</v>
      </c>
      <c r="R188" s="2">
        <f ca="1"/>
        <v>21.867999999999999</v>
      </c>
      <c r="S188">
        <f ca="1"/>
        <v>0.64000000000000012</v>
      </c>
      <c r="T188">
        <f ca="1"/>
        <v>689871.65609456401</v>
      </c>
      <c r="U188">
        <f ca="1"/>
        <v>7567415.6894776197</v>
      </c>
    </row>
    <row r="189" spans="1:21" x14ac:dyDescent="0.25">
      <c r="A189">
        <f ca="1"/>
        <v>188</v>
      </c>
      <c r="B189" t="str">
        <f ca="1"/>
        <v>CN</v>
      </c>
      <c r="C189" t="str">
        <f ca="1"/>
        <v>Z</v>
      </c>
      <c r="D189" t="str">
        <f ca="1"/>
        <v>R-6_U</v>
      </c>
      <c r="E189">
        <f ca="1"/>
        <v>0</v>
      </c>
      <c r="F189">
        <f ca="1"/>
        <v>0</v>
      </c>
      <c r="G189">
        <f ca="1"/>
        <v>0</v>
      </c>
      <c r="H189">
        <f ca="1"/>
        <v>0</v>
      </c>
      <c r="I189">
        <f ca="1"/>
        <v>0</v>
      </c>
      <c r="J189">
        <f ca="1"/>
        <v>94</v>
      </c>
      <c r="K189">
        <f ca="1"/>
        <v>1</v>
      </c>
      <c r="L189">
        <f ca="1"/>
        <v>689879.32079904387</v>
      </c>
      <c r="M189">
        <f ca="1"/>
        <v>7567423.5134319421</v>
      </c>
      <c r="N189" t="str">
        <f ca="1"/>
        <v>R-6</v>
      </c>
      <c r="O189" t="str">
        <f ca="1"/>
        <v>R-6</v>
      </c>
      <c r="P189">
        <f ca="1"/>
        <v>0</v>
      </c>
      <c r="Q189">
        <f ca="1"/>
        <v>-0.71665051284015391</v>
      </c>
      <c r="R189" s="2">
        <f ca="1"/>
        <v>21.867999999999999</v>
      </c>
      <c r="S189">
        <f ca="1"/>
        <v>0.64000000000000012</v>
      </c>
      <c r="T189">
        <f ca="1"/>
        <v>689871.65609456401</v>
      </c>
      <c r="U189">
        <f ca="1"/>
        <v>7567415.6894776197</v>
      </c>
    </row>
    <row r="190" spans="1:21" x14ac:dyDescent="0.25">
      <c r="A190">
        <f ca="1"/>
        <v>189</v>
      </c>
      <c r="B190" t="str">
        <f ca="1"/>
        <v>SX</v>
      </c>
      <c r="C190" t="str">
        <f ca="1"/>
        <v>Z</v>
      </c>
      <c r="D190" t="str">
        <f ca="1"/>
        <v>R-6_D</v>
      </c>
      <c r="E190">
        <f ca="1"/>
        <v>0</v>
      </c>
      <c r="F190">
        <f ca="1"/>
        <v>0</v>
      </c>
      <c r="G190">
        <f ca="1"/>
        <v>0</v>
      </c>
      <c r="H190">
        <f ca="1"/>
        <v>0</v>
      </c>
      <c r="I190">
        <f ca="1"/>
        <v>0</v>
      </c>
      <c r="J190">
        <f ca="1"/>
        <v>95</v>
      </c>
      <c r="K190">
        <f ca="1"/>
        <v>0</v>
      </c>
      <c r="L190">
        <f ca="1"/>
        <v>689847.55367231031</v>
      </c>
      <c r="M190">
        <f ca="1"/>
        <v>7567451.1876554536</v>
      </c>
      <c r="N190" t="str">
        <f ca="1"/>
        <v>R-6</v>
      </c>
      <c r="O190" t="str">
        <f ca="1"/>
        <v>R-6</v>
      </c>
      <c r="P190">
        <f ca="1"/>
        <v>1</v>
      </c>
      <c r="Q190">
        <f ca="1"/>
        <v>2.4249421407496383</v>
      </c>
      <c r="R190" s="2">
        <f ca="1"/>
        <v>21.867999999999999</v>
      </c>
      <c r="S190">
        <f ca="1"/>
        <v>0.64000000000000012</v>
      </c>
      <c r="T190">
        <f ca="1"/>
        <v>689840.85410076904</v>
      </c>
      <c r="U190">
        <f ca="1"/>
        <v>7567442.5229167296</v>
      </c>
    </row>
    <row r="191" spans="1:21" x14ac:dyDescent="0.25">
      <c r="A191">
        <f ca="1"/>
        <v>190</v>
      </c>
      <c r="B191" t="str">
        <f ca="1"/>
        <v>SX</v>
      </c>
      <c r="C191" t="str">
        <f ca="1"/>
        <v>Z</v>
      </c>
      <c r="D191" t="str">
        <f ca="1"/>
        <v>R-6_D</v>
      </c>
      <c r="E191">
        <f ca="1"/>
        <v>0</v>
      </c>
      <c r="F191">
        <f ca="1"/>
        <v>0</v>
      </c>
      <c r="G191">
        <f ca="1"/>
        <v>0</v>
      </c>
      <c r="H191">
        <f ca="1"/>
        <v>0</v>
      </c>
      <c r="I191">
        <f ca="1"/>
        <v>0</v>
      </c>
      <c r="J191">
        <f ca="1"/>
        <v>95</v>
      </c>
      <c r="K191">
        <f ca="1"/>
        <v>1</v>
      </c>
      <c r="L191">
        <f ca="1"/>
        <v>689833.18939628918</v>
      </c>
      <c r="M191">
        <f ca="1"/>
        <v>7567434.6989624072</v>
      </c>
      <c r="N191" t="str">
        <f ca="1"/>
        <v>R-6</v>
      </c>
      <c r="O191" t="str">
        <f ca="1"/>
        <v>R-6</v>
      </c>
      <c r="P191">
        <f ca="1"/>
        <v>1</v>
      </c>
      <c r="Q191">
        <f ca="1"/>
        <v>2.4249421407496383</v>
      </c>
      <c r="R191" s="2">
        <f ca="1"/>
        <v>21.867999999999999</v>
      </c>
      <c r="S191">
        <f ca="1"/>
        <v>0.64000000000000012</v>
      </c>
      <c r="T191">
        <f ca="1"/>
        <v>689840.85410076904</v>
      </c>
      <c r="U191">
        <f ca="1"/>
        <v>7567442.5229167296</v>
      </c>
    </row>
    <row r="192" spans="1:21" x14ac:dyDescent="0.25">
      <c r="A192">
        <f ca="1"/>
        <v>191</v>
      </c>
      <c r="B192" t="str">
        <f ca="1"/>
        <v>CN</v>
      </c>
      <c r="C192" t="str">
        <f ca="1"/>
        <v>Z</v>
      </c>
      <c r="D192" t="str">
        <f ca="1"/>
        <v>R-6_D</v>
      </c>
      <c r="E192">
        <f ca="1"/>
        <v>0</v>
      </c>
      <c r="F192">
        <f ca="1"/>
        <v>0</v>
      </c>
      <c r="G192">
        <f ca="1"/>
        <v>0</v>
      </c>
      <c r="H192">
        <f ca="1"/>
        <v>0</v>
      </c>
      <c r="I192">
        <f ca="1"/>
        <v>0</v>
      </c>
      <c r="J192">
        <f ca="1"/>
        <v>96</v>
      </c>
      <c r="K192">
        <f ca="1"/>
        <v>0</v>
      </c>
      <c r="L192">
        <f ca="1"/>
        <v>689840.85410076904</v>
      </c>
      <c r="M192">
        <f ca="1"/>
        <v>7567442.5229167296</v>
      </c>
      <c r="N192" t="str">
        <f ca="1"/>
        <v>R-6</v>
      </c>
      <c r="O192" t="str">
        <f ca="1"/>
        <v>R-6</v>
      </c>
      <c r="P192">
        <f ca="1"/>
        <v>1</v>
      </c>
      <c r="Q192">
        <f ca="1"/>
        <v>2.4249421407496383</v>
      </c>
      <c r="R192" s="2">
        <f ca="1"/>
        <v>21.867999999999999</v>
      </c>
      <c r="S192">
        <f ca="1"/>
        <v>0.64000000000000012</v>
      </c>
      <c r="T192">
        <f ca="1"/>
        <v>689840.85410076904</v>
      </c>
      <c r="U192">
        <f ca="1"/>
        <v>7567442.5229167296</v>
      </c>
    </row>
    <row r="193" spans="1:21" x14ac:dyDescent="0.25">
      <c r="A193">
        <f ca="1"/>
        <v>192</v>
      </c>
      <c r="B193" t="str">
        <f ca="1"/>
        <v>CN</v>
      </c>
      <c r="C193" t="str">
        <f ca="1"/>
        <v>Z</v>
      </c>
      <c r="D193" t="str">
        <f ca="1"/>
        <v>R-6_D</v>
      </c>
      <c r="E193">
        <f ca="1"/>
        <v>0</v>
      </c>
      <c r="F193">
        <f ca="1"/>
        <v>0</v>
      </c>
      <c r="G193">
        <f ca="1"/>
        <v>0</v>
      </c>
      <c r="H193">
        <f ca="1"/>
        <v>0</v>
      </c>
      <c r="I193">
        <f ca="1"/>
        <v>0</v>
      </c>
      <c r="J193">
        <f ca="1"/>
        <v>96</v>
      </c>
      <c r="K193">
        <f ca="1"/>
        <v>1</v>
      </c>
      <c r="L193">
        <f ca="1"/>
        <v>689833.18939628918</v>
      </c>
      <c r="M193">
        <f ca="1"/>
        <v>7567434.6989624072</v>
      </c>
      <c r="N193" t="str">
        <f ca="1"/>
        <v>R-6</v>
      </c>
      <c r="O193" t="str">
        <f ca="1"/>
        <v>R-6</v>
      </c>
      <c r="P193">
        <f ca="1"/>
        <v>1</v>
      </c>
      <c r="Q193">
        <f ca="1"/>
        <v>2.4249421407496383</v>
      </c>
      <c r="R193" s="2">
        <f ca="1"/>
        <v>21.867999999999999</v>
      </c>
      <c r="S193">
        <f ca="1"/>
        <v>0.64000000000000012</v>
      </c>
      <c r="T193">
        <f ca="1"/>
        <v>689840.85410076904</v>
      </c>
      <c r="U193">
        <f ca="1"/>
        <v>7567442.5229167296</v>
      </c>
    </row>
    <row r="194" spans="1:21" x14ac:dyDescent="0.25">
      <c r="A194">
        <f ca="1"/>
        <v>193</v>
      </c>
      <c r="B194" t="str">
        <f ca="1"/>
        <v>SX</v>
      </c>
      <c r="C194" t="str">
        <f ca="1"/>
        <v>Z</v>
      </c>
      <c r="D194" t="str">
        <f ca="1"/>
        <v>R-6b_U</v>
      </c>
      <c r="E194">
        <f ca="1"/>
        <v>0</v>
      </c>
      <c r="F194">
        <f ca="1"/>
        <v>0</v>
      </c>
      <c r="G194">
        <f ca="1"/>
        <v>0</v>
      </c>
      <c r="H194">
        <f ca="1"/>
        <v>0</v>
      </c>
      <c r="I194">
        <f ca="1"/>
        <v>0</v>
      </c>
      <c r="J194">
        <f ca="1"/>
        <v>97</v>
      </c>
      <c r="K194">
        <f ca="1"/>
        <v>0</v>
      </c>
      <c r="L194">
        <f ca="1"/>
        <v>689631.46771160979</v>
      </c>
      <c r="M194">
        <f ca="1"/>
        <v>7567167.379749421</v>
      </c>
      <c r="N194" t="str">
        <f ca="1"/>
        <v>R-6b</v>
      </c>
      <c r="O194" t="str">
        <f ca="1"/>
        <v>R-6b</v>
      </c>
      <c r="P194">
        <f ca="1"/>
        <v>0</v>
      </c>
      <c r="Q194">
        <f ca="1"/>
        <v>-1.5996507950157222</v>
      </c>
      <c r="R194" s="2">
        <f ca="1"/>
        <v>2.2119999999999997</v>
      </c>
      <c r="S194">
        <f ca="1"/>
        <v>0.64000000000000012</v>
      </c>
      <c r="T194">
        <f ca="1"/>
        <v>689632.59171552199</v>
      </c>
      <c r="U194">
        <f ca="1"/>
        <v>7567167.9875744004</v>
      </c>
    </row>
    <row r="195" spans="1:21" x14ac:dyDescent="0.25">
      <c r="A195">
        <f ca="1"/>
        <v>194</v>
      </c>
      <c r="B195" t="str">
        <f ca="1"/>
        <v>SX</v>
      </c>
      <c r="C195" t="str">
        <f ca="1"/>
        <v>Z</v>
      </c>
      <c r="D195" t="str">
        <f ca="1"/>
        <v>R-6b_U</v>
      </c>
      <c r="E195">
        <f ca="1"/>
        <v>0</v>
      </c>
      <c r="F195">
        <f ca="1"/>
        <v>0</v>
      </c>
      <c r="G195">
        <f ca="1"/>
        <v>0</v>
      </c>
      <c r="H195">
        <f ca="1"/>
        <v>0</v>
      </c>
      <c r="I195">
        <f ca="1"/>
        <v>0</v>
      </c>
      <c r="J195">
        <f ca="1"/>
        <v>97</v>
      </c>
      <c r="K195">
        <f ca="1"/>
        <v>1</v>
      </c>
      <c r="L195">
        <f ca="1"/>
        <v>689633.67879083974</v>
      </c>
      <c r="M195">
        <f ca="1"/>
        <v>7567167.3159321938</v>
      </c>
      <c r="N195" t="str">
        <f ca="1"/>
        <v>R-6b</v>
      </c>
      <c r="O195" t="str">
        <f ca="1"/>
        <v>R-6b</v>
      </c>
      <c r="P195">
        <f ca="1"/>
        <v>0</v>
      </c>
      <c r="Q195">
        <f ca="1"/>
        <v>-1.5996507950157222</v>
      </c>
      <c r="R195" s="2">
        <f ca="1"/>
        <v>2.2119999999999997</v>
      </c>
      <c r="S195">
        <f ca="1"/>
        <v>0.64000000000000012</v>
      </c>
      <c r="T195">
        <f ca="1"/>
        <v>689632.59171552199</v>
      </c>
      <c r="U195">
        <f ca="1"/>
        <v>7567167.9875744004</v>
      </c>
    </row>
    <row r="196" spans="1:21" x14ac:dyDescent="0.25">
      <c r="A196">
        <f ca="1"/>
        <v>195</v>
      </c>
      <c r="B196" t="str">
        <f ca="1"/>
        <v>CN</v>
      </c>
      <c r="C196" t="str">
        <f ca="1"/>
        <v>Z</v>
      </c>
      <c r="D196" t="str">
        <f ca="1"/>
        <v>R-6b_U</v>
      </c>
      <c r="E196">
        <f ca="1"/>
        <v>0</v>
      </c>
      <c r="F196">
        <f ca="1"/>
        <v>0</v>
      </c>
      <c r="G196">
        <f ca="1"/>
        <v>0</v>
      </c>
      <c r="H196">
        <f ca="1"/>
        <v>0</v>
      </c>
      <c r="I196">
        <f ca="1"/>
        <v>0</v>
      </c>
      <c r="J196">
        <f ca="1"/>
        <v>98</v>
      </c>
      <c r="K196">
        <f ca="1"/>
        <v>0</v>
      </c>
      <c r="L196">
        <f ca="1"/>
        <v>689632.59171552199</v>
      </c>
      <c r="M196">
        <f ca="1"/>
        <v>7567167.9875744004</v>
      </c>
      <c r="N196" t="str">
        <f ca="1"/>
        <v>R-6b</v>
      </c>
      <c r="O196" t="str">
        <f ca="1"/>
        <v>R-6b</v>
      </c>
      <c r="P196">
        <f ca="1"/>
        <v>0</v>
      </c>
      <c r="Q196">
        <f ca="1"/>
        <v>-1.5996507950157222</v>
      </c>
      <c r="R196" s="2">
        <f ca="1"/>
        <v>2.2119999999999997</v>
      </c>
      <c r="S196">
        <f ca="1"/>
        <v>0.64000000000000012</v>
      </c>
      <c r="T196">
        <f ca="1"/>
        <v>689632.59171552199</v>
      </c>
      <c r="U196">
        <f ca="1"/>
        <v>7567167.9875744004</v>
      </c>
    </row>
    <row r="197" spans="1:21" x14ac:dyDescent="0.25">
      <c r="A197">
        <f ca="1"/>
        <v>196</v>
      </c>
      <c r="B197" t="str">
        <f ca="1"/>
        <v>CN</v>
      </c>
      <c r="C197" t="str">
        <f ca="1"/>
        <v>Z</v>
      </c>
      <c r="D197" t="str">
        <f ca="1"/>
        <v>R-6b_U</v>
      </c>
      <c r="E197">
        <f ca="1"/>
        <v>0</v>
      </c>
      <c r="F197">
        <f ca="1"/>
        <v>0</v>
      </c>
      <c r="G197">
        <f ca="1"/>
        <v>0</v>
      </c>
      <c r="H197">
        <f ca="1"/>
        <v>0</v>
      </c>
      <c r="I197">
        <f ca="1"/>
        <v>0</v>
      </c>
      <c r="J197">
        <f ca="1"/>
        <v>98</v>
      </c>
      <c r="K197">
        <f ca="1"/>
        <v>1</v>
      </c>
      <c r="L197">
        <f ca="1"/>
        <v>689633.67879083974</v>
      </c>
      <c r="M197">
        <f ca="1"/>
        <v>7567167.3159321938</v>
      </c>
      <c r="N197" t="str">
        <f ca="1"/>
        <v>R-6b</v>
      </c>
      <c r="O197" t="str">
        <f ca="1"/>
        <v>R-6b</v>
      </c>
      <c r="P197">
        <f ca="1"/>
        <v>0</v>
      </c>
      <c r="Q197">
        <f ca="1"/>
        <v>-1.5996507950157222</v>
      </c>
      <c r="R197" s="2">
        <f ca="1"/>
        <v>2.2119999999999997</v>
      </c>
      <c r="S197">
        <f ca="1"/>
        <v>0.64000000000000012</v>
      </c>
      <c r="T197">
        <f ca="1"/>
        <v>689632.59171552199</v>
      </c>
      <c r="U197">
        <f ca="1"/>
        <v>7567167.9875744004</v>
      </c>
    </row>
    <row r="198" spans="1:21" x14ac:dyDescent="0.25">
      <c r="A198">
        <f ca="1"/>
        <v>197</v>
      </c>
      <c r="B198" t="str">
        <f ca="1"/>
        <v>SX</v>
      </c>
      <c r="C198" t="str">
        <f ca="1"/>
        <v>Z</v>
      </c>
      <c r="D198" t="str">
        <f ca="1"/>
        <v>R-6b_D</v>
      </c>
      <c r="E198">
        <f ca="1"/>
        <v>0</v>
      </c>
      <c r="F198">
        <f ca="1"/>
        <v>0</v>
      </c>
      <c r="G198">
        <f ca="1"/>
        <v>0</v>
      </c>
      <c r="H198">
        <f ca="1"/>
        <v>0</v>
      </c>
      <c r="I198">
        <f ca="1"/>
        <v>0</v>
      </c>
      <c r="J198">
        <f ca="1"/>
        <v>99</v>
      </c>
      <c r="K198">
        <f ca="1"/>
        <v>0</v>
      </c>
      <c r="L198">
        <f ca="1"/>
        <v>689635.29462170426</v>
      </c>
      <c r="M198">
        <f ca="1"/>
        <v>7567223.2997192098</v>
      </c>
      <c r="N198" t="str">
        <f ca="1"/>
        <v>R-6b</v>
      </c>
      <c r="O198" t="str">
        <f ca="1"/>
        <v>R-6b</v>
      </c>
      <c r="P198">
        <f ca="1"/>
        <v>1</v>
      </c>
      <c r="Q198">
        <f ca="1"/>
        <v>1.541941858574071</v>
      </c>
      <c r="R198" s="2">
        <f ca="1"/>
        <v>2.2119999999999997</v>
      </c>
      <c r="S198">
        <f ca="1"/>
        <v>0.64000000000000012</v>
      </c>
      <c r="T198">
        <f ca="1"/>
        <v>689634.17061779206</v>
      </c>
      <c r="U198">
        <f ca="1"/>
        <v>7567222.6918942304</v>
      </c>
    </row>
    <row r="199" spans="1:21" x14ac:dyDescent="0.25">
      <c r="A199">
        <f ca="1"/>
        <v>198</v>
      </c>
      <c r="B199" t="str">
        <f ca="1"/>
        <v>SX</v>
      </c>
      <c r="C199" t="str">
        <f ca="1"/>
        <v>Z</v>
      </c>
      <c r="D199" t="str">
        <f ca="1"/>
        <v>R-6b_D</v>
      </c>
      <c r="E199">
        <f ca="1"/>
        <v>0</v>
      </c>
      <c r="F199">
        <f ca="1"/>
        <v>0</v>
      </c>
      <c r="G199">
        <f ca="1"/>
        <v>0</v>
      </c>
      <c r="H199">
        <f ca="1"/>
        <v>0</v>
      </c>
      <c r="I199">
        <f ca="1"/>
        <v>0</v>
      </c>
      <c r="J199">
        <f ca="1"/>
        <v>99</v>
      </c>
      <c r="K199">
        <f ca="1"/>
        <v>1</v>
      </c>
      <c r="L199">
        <f ca="1"/>
        <v>689633.08354247431</v>
      </c>
      <c r="M199">
        <f ca="1"/>
        <v>7567223.363536437</v>
      </c>
      <c r="N199" t="str">
        <f ca="1"/>
        <v>R-6b</v>
      </c>
      <c r="O199" t="str">
        <f ca="1"/>
        <v>R-6b</v>
      </c>
      <c r="P199">
        <f ca="1"/>
        <v>1</v>
      </c>
      <c r="Q199">
        <f ca="1"/>
        <v>1.541941858574071</v>
      </c>
      <c r="R199" s="2">
        <f ca="1"/>
        <v>2.2119999999999997</v>
      </c>
      <c r="S199">
        <f ca="1"/>
        <v>0.64000000000000012</v>
      </c>
      <c r="T199">
        <f ca="1"/>
        <v>689634.17061779206</v>
      </c>
      <c r="U199">
        <f ca="1"/>
        <v>7567222.6918942304</v>
      </c>
    </row>
    <row r="200" spans="1:21" x14ac:dyDescent="0.25">
      <c r="A200">
        <f ca="1"/>
        <v>199</v>
      </c>
      <c r="B200" t="str">
        <f ca="1"/>
        <v>CN</v>
      </c>
      <c r="C200" t="str">
        <f ca="1"/>
        <v>Z</v>
      </c>
      <c r="D200" t="str">
        <f ca="1"/>
        <v>R-6b_D</v>
      </c>
      <c r="E200">
        <f ca="1"/>
        <v>0</v>
      </c>
      <c r="F200">
        <f ca="1"/>
        <v>0</v>
      </c>
      <c r="G200">
        <f ca="1"/>
        <v>0</v>
      </c>
      <c r="H200">
        <f ca="1"/>
        <v>0</v>
      </c>
      <c r="I200">
        <f ca="1"/>
        <v>0</v>
      </c>
      <c r="J200">
        <f ca="1"/>
        <v>100</v>
      </c>
      <c r="K200">
        <f ca="1"/>
        <v>0</v>
      </c>
      <c r="L200">
        <f ca="1"/>
        <v>689634.17061779206</v>
      </c>
      <c r="M200">
        <f ca="1"/>
        <v>7567222.6918942304</v>
      </c>
      <c r="N200" t="str">
        <f ca="1"/>
        <v>R-6b</v>
      </c>
      <c r="O200" t="str">
        <f ca="1"/>
        <v>R-6b</v>
      </c>
      <c r="P200">
        <f ca="1"/>
        <v>1</v>
      </c>
      <c r="Q200">
        <f ca="1"/>
        <v>1.541941858574071</v>
      </c>
      <c r="R200" s="2">
        <f ca="1"/>
        <v>2.2119999999999997</v>
      </c>
      <c r="S200">
        <f ca="1"/>
        <v>0.64000000000000012</v>
      </c>
      <c r="T200">
        <f ca="1"/>
        <v>689634.17061779206</v>
      </c>
      <c r="U200">
        <f ca="1"/>
        <v>7567222.6918942304</v>
      </c>
    </row>
    <row r="201" spans="1:21" x14ac:dyDescent="0.25">
      <c r="A201">
        <f ca="1"/>
        <v>200</v>
      </c>
      <c r="B201" t="str">
        <f ca="1"/>
        <v>CN</v>
      </c>
      <c r="C201" t="str">
        <f ca="1"/>
        <v>Z</v>
      </c>
      <c r="D201" t="str">
        <f ca="1"/>
        <v>R-6b_D</v>
      </c>
      <c r="E201">
        <f ca="1"/>
        <v>0</v>
      </c>
      <c r="F201">
        <f ca="1"/>
        <v>0</v>
      </c>
      <c r="G201">
        <f ca="1"/>
        <v>0</v>
      </c>
      <c r="H201">
        <f ca="1"/>
        <v>0</v>
      </c>
      <c r="I201">
        <f ca="1"/>
        <v>0</v>
      </c>
      <c r="J201">
        <f ca="1"/>
        <v>100</v>
      </c>
      <c r="K201">
        <f ca="1"/>
        <v>1</v>
      </c>
      <c r="L201">
        <f ca="1"/>
        <v>689633.08354247431</v>
      </c>
      <c r="M201">
        <f ca="1"/>
        <v>7567223.363536437</v>
      </c>
      <c r="N201" t="str">
        <f ca="1"/>
        <v>R-6b</v>
      </c>
      <c r="O201" t="str">
        <f ca="1"/>
        <v>R-6b</v>
      </c>
      <c r="P201">
        <f ca="1"/>
        <v>1</v>
      </c>
      <c r="Q201">
        <f ca="1"/>
        <v>1.541941858574071</v>
      </c>
      <c r="R201" s="2">
        <f ca="1"/>
        <v>2.2119999999999997</v>
      </c>
      <c r="S201">
        <f ca="1"/>
        <v>0.64000000000000012</v>
      </c>
      <c r="T201">
        <f ca="1"/>
        <v>689634.17061779206</v>
      </c>
      <c r="U201">
        <f ca="1"/>
        <v>7567222.6918942304</v>
      </c>
    </row>
    <row r="202" spans="1:21" x14ac:dyDescent="0.25">
      <c r="A202">
        <f ca="1"/>
        <v>201</v>
      </c>
      <c r="B202" t="str">
        <f ca="1"/>
        <v>SX</v>
      </c>
      <c r="C202" t="str">
        <f ca="1"/>
        <v>Z</v>
      </c>
      <c r="D202" t="str">
        <f ca="1"/>
        <v>R-7_U</v>
      </c>
      <c r="E202">
        <f ca="1"/>
        <v>0</v>
      </c>
      <c r="F202">
        <f ca="1"/>
        <v>0</v>
      </c>
      <c r="G202">
        <f ca="1"/>
        <v>0</v>
      </c>
      <c r="H202">
        <f ca="1"/>
        <v>0</v>
      </c>
      <c r="I202">
        <f ca="1"/>
        <v>0</v>
      </c>
      <c r="J202">
        <f ca="1"/>
        <v>101</v>
      </c>
      <c r="K202">
        <f ca="1"/>
        <v>0</v>
      </c>
      <c r="L202">
        <f ca="1"/>
        <v>690762.75818468269</v>
      </c>
      <c r="M202">
        <f ca="1"/>
        <v>7568489.7524784422</v>
      </c>
      <c r="N202" t="str">
        <f ca="1"/>
        <v>R-7</v>
      </c>
      <c r="O202" t="str">
        <f ca="1"/>
        <v>R-7</v>
      </c>
      <c r="P202">
        <f ca="1"/>
        <v>0</v>
      </c>
      <c r="Q202">
        <f ca="1"/>
        <v>-0.85309118606238421</v>
      </c>
      <c r="R202" s="2">
        <f ca="1"/>
        <v>3.2199999999999998</v>
      </c>
      <c r="S202">
        <f ca="1"/>
        <v>0.64000000000000012</v>
      </c>
      <c r="T202">
        <f ca="1"/>
        <v>690763.55012406595</v>
      </c>
      <c r="U202">
        <f ca="1"/>
        <v>7568491.2934301002</v>
      </c>
    </row>
    <row r="203" spans="1:21" x14ac:dyDescent="0.25">
      <c r="A203">
        <f ca="1"/>
        <v>202</v>
      </c>
      <c r="B203" t="str">
        <f ca="1"/>
        <v>SX</v>
      </c>
      <c r="C203" t="str">
        <f ca="1"/>
        <v>Z</v>
      </c>
      <c r="D203" t="str">
        <f ca="1"/>
        <v>R-7_U</v>
      </c>
      <c r="E203">
        <f ca="1"/>
        <v>0</v>
      </c>
      <c r="F203">
        <f ca="1"/>
        <v>0</v>
      </c>
      <c r="G203">
        <f ca="1"/>
        <v>0</v>
      </c>
      <c r="H203">
        <f ca="1"/>
        <v>0</v>
      </c>
      <c r="I203">
        <f ca="1"/>
        <v>0</v>
      </c>
      <c r="J203">
        <f ca="1"/>
        <v>101</v>
      </c>
      <c r="K203">
        <f ca="1"/>
        <v>1</v>
      </c>
      <c r="L203">
        <f ca="1"/>
        <v>690765.18386523973</v>
      </c>
      <c r="M203">
        <f ca="1"/>
        <v>7568491.870136071</v>
      </c>
      <c r="N203" t="str">
        <f ca="1"/>
        <v>R-7</v>
      </c>
      <c r="O203" t="str">
        <f ca="1"/>
        <v>R-7</v>
      </c>
      <c r="P203">
        <f ca="1"/>
        <v>0</v>
      </c>
      <c r="Q203">
        <f ca="1"/>
        <v>-0.85309118606238421</v>
      </c>
      <c r="R203" s="2">
        <f ca="1"/>
        <v>3.2199999999999998</v>
      </c>
      <c r="S203">
        <f ca="1"/>
        <v>0.64000000000000012</v>
      </c>
      <c r="T203">
        <f ca="1"/>
        <v>690763.55012406595</v>
      </c>
      <c r="U203">
        <f ca="1"/>
        <v>7568491.2934301002</v>
      </c>
    </row>
    <row r="204" spans="1:21" x14ac:dyDescent="0.25">
      <c r="A204">
        <f ca="1"/>
        <v>203</v>
      </c>
      <c r="B204" t="str">
        <f ca="1"/>
        <v>CN</v>
      </c>
      <c r="C204" t="str">
        <f ca="1"/>
        <v>Z</v>
      </c>
      <c r="D204" t="str">
        <f ca="1"/>
        <v>R-7_U</v>
      </c>
      <c r="E204">
        <f ca="1"/>
        <v>0</v>
      </c>
      <c r="F204">
        <f ca="1"/>
        <v>0</v>
      </c>
      <c r="G204">
        <f ca="1"/>
        <v>0</v>
      </c>
      <c r="H204">
        <f ca="1"/>
        <v>0</v>
      </c>
      <c r="I204">
        <f ca="1"/>
        <v>0</v>
      </c>
      <c r="J204">
        <f ca="1"/>
        <v>102</v>
      </c>
      <c r="K204">
        <f ca="1"/>
        <v>0</v>
      </c>
      <c r="L204">
        <f ca="1"/>
        <v>690763.55012406595</v>
      </c>
      <c r="M204">
        <f ca="1"/>
        <v>7568491.2934301002</v>
      </c>
      <c r="N204" t="str">
        <f ca="1"/>
        <v>R-7</v>
      </c>
      <c r="O204" t="str">
        <f ca="1"/>
        <v>R-7</v>
      </c>
      <c r="P204">
        <f ca="1"/>
        <v>0</v>
      </c>
      <c r="Q204">
        <f ca="1"/>
        <v>-0.85309118606238421</v>
      </c>
      <c r="R204" s="2">
        <f ca="1"/>
        <v>3.2199999999999998</v>
      </c>
      <c r="S204">
        <f ca="1"/>
        <v>0.64000000000000012</v>
      </c>
      <c r="T204">
        <f ca="1"/>
        <v>690763.55012406595</v>
      </c>
      <c r="U204">
        <f ca="1"/>
        <v>7568491.2934301002</v>
      </c>
    </row>
    <row r="205" spans="1:21" x14ac:dyDescent="0.25">
      <c r="A205">
        <f ca="1"/>
        <v>204</v>
      </c>
      <c r="B205" t="str">
        <f ca="1"/>
        <v>CN</v>
      </c>
      <c r="C205" t="str">
        <f ca="1"/>
        <v>Z</v>
      </c>
      <c r="D205" t="str">
        <f ca="1"/>
        <v>R-7_U</v>
      </c>
      <c r="E205">
        <f ca="1"/>
        <v>0</v>
      </c>
      <c r="F205">
        <f ca="1"/>
        <v>0</v>
      </c>
      <c r="G205">
        <f ca="1"/>
        <v>0</v>
      </c>
      <c r="H205">
        <f ca="1"/>
        <v>0</v>
      </c>
      <c r="I205">
        <f ca="1"/>
        <v>0</v>
      </c>
      <c r="J205">
        <f ca="1"/>
        <v>102</v>
      </c>
      <c r="K205">
        <f ca="1"/>
        <v>1</v>
      </c>
      <c r="L205">
        <f ca="1"/>
        <v>690765.18386523973</v>
      </c>
      <c r="M205">
        <f ca="1"/>
        <v>7568491.870136071</v>
      </c>
      <c r="N205" t="str">
        <f ca="1"/>
        <v>R-7</v>
      </c>
      <c r="O205" t="str">
        <f ca="1"/>
        <v>R-7</v>
      </c>
      <c r="P205">
        <f ca="1"/>
        <v>0</v>
      </c>
      <c r="Q205">
        <f ca="1"/>
        <v>-0.85309118606238421</v>
      </c>
      <c r="R205" s="2">
        <f ca="1"/>
        <v>3.2199999999999998</v>
      </c>
      <c r="S205">
        <f ca="1"/>
        <v>0.64000000000000012</v>
      </c>
      <c r="T205">
        <f ca="1"/>
        <v>690763.55012406595</v>
      </c>
      <c r="U205">
        <f ca="1"/>
        <v>7568491.2934301002</v>
      </c>
    </row>
    <row r="206" spans="1:21" x14ac:dyDescent="0.25">
      <c r="A206">
        <f ca="1"/>
        <v>205</v>
      </c>
      <c r="B206" t="str">
        <f ca="1"/>
        <v>SX</v>
      </c>
      <c r="C206" t="str">
        <f ca="1"/>
        <v>Z</v>
      </c>
      <c r="D206" t="str">
        <f ca="1"/>
        <v>R-7_D</v>
      </c>
      <c r="E206">
        <f ca="1"/>
        <v>0</v>
      </c>
      <c r="F206">
        <f ca="1"/>
        <v>0</v>
      </c>
      <c r="G206">
        <f ca="1"/>
        <v>0</v>
      </c>
      <c r="H206">
        <f ca="1"/>
        <v>0</v>
      </c>
      <c r="I206">
        <f ca="1"/>
        <v>0</v>
      </c>
      <c r="J206">
        <f ca="1"/>
        <v>103</v>
      </c>
      <c r="K206">
        <f ca="1"/>
        <v>0</v>
      </c>
      <c r="L206">
        <f ca="1"/>
        <v>690743.90921054024</v>
      </c>
      <c r="M206">
        <f ca="1"/>
        <v>7568516.239285998</v>
      </c>
      <c r="N206" t="str">
        <f ca="1"/>
        <v>R-7</v>
      </c>
      <c r="O206" t="str">
        <f ca="1"/>
        <v>R-7</v>
      </c>
      <c r="P206">
        <f ca="1"/>
        <v>1</v>
      </c>
      <c r="Q206">
        <f ca="1"/>
        <v>2.2885014675274089</v>
      </c>
      <c r="R206" s="2">
        <f ca="1"/>
        <v>3.2199999999999998</v>
      </c>
      <c r="S206">
        <f ca="1"/>
        <v>0.64000000000000012</v>
      </c>
      <c r="T206">
        <f ca="1"/>
        <v>690743.11727115698</v>
      </c>
      <c r="U206">
        <f ca="1"/>
        <v>7568514.69833434</v>
      </c>
    </row>
    <row r="207" spans="1:21" x14ac:dyDescent="0.25">
      <c r="A207">
        <f ca="1"/>
        <v>206</v>
      </c>
      <c r="B207" t="str">
        <f ca="1"/>
        <v>SX</v>
      </c>
      <c r="C207" t="str">
        <f ca="1"/>
        <v>Z</v>
      </c>
      <c r="D207" t="str">
        <f ca="1"/>
        <v>R-7_D</v>
      </c>
      <c r="E207">
        <f ca="1"/>
        <v>0</v>
      </c>
      <c r="F207">
        <f ca="1"/>
        <v>0</v>
      </c>
      <c r="G207">
        <f ca="1"/>
        <v>0</v>
      </c>
      <c r="H207">
        <f ca="1"/>
        <v>0</v>
      </c>
      <c r="I207">
        <f ca="1"/>
        <v>0</v>
      </c>
      <c r="J207">
        <f ca="1"/>
        <v>103</v>
      </c>
      <c r="K207">
        <f ca="1"/>
        <v>1</v>
      </c>
      <c r="L207">
        <f ca="1"/>
        <v>690741.4835299832</v>
      </c>
      <c r="M207">
        <f ca="1"/>
        <v>7568514.1216283692</v>
      </c>
      <c r="N207" t="str">
        <f ca="1"/>
        <v>R-7</v>
      </c>
      <c r="O207" t="str">
        <f ca="1"/>
        <v>R-7</v>
      </c>
      <c r="P207">
        <f ca="1"/>
        <v>1</v>
      </c>
      <c r="Q207">
        <f ca="1"/>
        <v>2.2885014675274089</v>
      </c>
      <c r="R207" s="2">
        <f ca="1"/>
        <v>3.2199999999999998</v>
      </c>
      <c r="S207">
        <f ca="1"/>
        <v>0.64000000000000012</v>
      </c>
      <c r="T207">
        <f ca="1"/>
        <v>690743.11727115698</v>
      </c>
      <c r="U207">
        <f ca="1"/>
        <v>7568514.69833434</v>
      </c>
    </row>
    <row r="208" spans="1:21" x14ac:dyDescent="0.25">
      <c r="A208">
        <f ca="1"/>
        <v>207</v>
      </c>
      <c r="B208" t="str">
        <f ca="1"/>
        <v>CN</v>
      </c>
      <c r="C208" t="str">
        <f ca="1"/>
        <v>Z</v>
      </c>
      <c r="D208" t="str">
        <f ca="1"/>
        <v>R-7_D</v>
      </c>
      <c r="E208">
        <f ca="1"/>
        <v>0</v>
      </c>
      <c r="F208">
        <f ca="1"/>
        <v>0</v>
      </c>
      <c r="G208">
        <f ca="1"/>
        <v>0</v>
      </c>
      <c r="H208">
        <f ca="1"/>
        <v>0</v>
      </c>
      <c r="I208">
        <f ca="1"/>
        <v>0</v>
      </c>
      <c r="J208">
        <f ca="1"/>
        <v>104</v>
      </c>
      <c r="K208">
        <f ca="1"/>
        <v>0</v>
      </c>
      <c r="L208">
        <f ca="1"/>
        <v>690743.11727115698</v>
      </c>
      <c r="M208">
        <f ca="1"/>
        <v>7568514.69833434</v>
      </c>
      <c r="N208" t="str">
        <f ca="1"/>
        <v>R-7</v>
      </c>
      <c r="O208" t="str">
        <f ca="1"/>
        <v>R-7</v>
      </c>
      <c r="P208">
        <f ca="1"/>
        <v>1</v>
      </c>
      <c r="Q208">
        <f ca="1"/>
        <v>2.2885014675274089</v>
      </c>
      <c r="R208" s="2">
        <f ca="1"/>
        <v>3.2199999999999998</v>
      </c>
      <c r="S208">
        <f ca="1"/>
        <v>0.64000000000000012</v>
      </c>
      <c r="T208">
        <f ca="1"/>
        <v>690743.11727115698</v>
      </c>
      <c r="U208">
        <f ca="1"/>
        <v>7568514.69833434</v>
      </c>
    </row>
    <row r="209" spans="1:21" x14ac:dyDescent="0.25">
      <c r="A209">
        <f ca="1"/>
        <v>208</v>
      </c>
      <c r="B209" t="str">
        <f ca="1"/>
        <v>CN</v>
      </c>
      <c r="C209" t="str">
        <f ca="1"/>
        <v>Z</v>
      </c>
      <c r="D209" t="str">
        <f ca="1"/>
        <v>R-7_D</v>
      </c>
      <c r="E209">
        <f ca="1"/>
        <v>0</v>
      </c>
      <c r="F209">
        <f ca="1"/>
        <v>0</v>
      </c>
      <c r="G209">
        <f ca="1"/>
        <v>0</v>
      </c>
      <c r="H209">
        <f ca="1"/>
        <v>0</v>
      </c>
      <c r="I209">
        <f ca="1"/>
        <v>0</v>
      </c>
      <c r="J209">
        <f ca="1"/>
        <v>104</v>
      </c>
      <c r="K209">
        <f ca="1"/>
        <v>1</v>
      </c>
      <c r="L209">
        <f ca="1"/>
        <v>690741.4835299832</v>
      </c>
      <c r="M209">
        <f ca="1"/>
        <v>7568514.1216283692</v>
      </c>
      <c r="N209" t="str">
        <f ca="1"/>
        <v>R-7</v>
      </c>
      <c r="O209" t="str">
        <f ca="1"/>
        <v>R-7</v>
      </c>
      <c r="P209">
        <f ca="1"/>
        <v>1</v>
      </c>
      <c r="Q209">
        <f ca="1"/>
        <v>2.2885014675274089</v>
      </c>
      <c r="R209" s="2">
        <f ca="1"/>
        <v>3.2199999999999998</v>
      </c>
      <c r="S209">
        <f ca="1"/>
        <v>0.64000000000000012</v>
      </c>
      <c r="T209">
        <f ca="1"/>
        <v>690743.11727115698</v>
      </c>
      <c r="U209">
        <f ca="1"/>
        <v>7568514.69833434</v>
      </c>
    </row>
    <row r="210" spans="1:21" x14ac:dyDescent="0.25">
      <c r="A210">
        <f ca="1"/>
        <v>209</v>
      </c>
      <c r="B210" t="str">
        <f ca="1"/>
        <v>SX</v>
      </c>
      <c r="C210" t="str">
        <f ca="1"/>
        <v>Z</v>
      </c>
      <c r="D210" t="str">
        <f ca="1"/>
        <v>R-7b_U</v>
      </c>
      <c r="E210">
        <f ca="1"/>
        <v>0</v>
      </c>
      <c r="F210">
        <f ca="1"/>
        <v>0</v>
      </c>
      <c r="G210">
        <f ca="1"/>
        <v>0</v>
      </c>
      <c r="H210">
        <f ca="1"/>
        <v>0</v>
      </c>
      <c r="I210">
        <f ca="1"/>
        <v>0</v>
      </c>
      <c r="J210">
        <f ca="1"/>
        <v>105</v>
      </c>
      <c r="K210">
        <f ca="1"/>
        <v>0</v>
      </c>
      <c r="L210">
        <f ca="1"/>
        <v>690558.1041208005</v>
      </c>
      <c r="M210">
        <f ca="1"/>
        <v>7568242.5023498712</v>
      </c>
      <c r="N210" t="str">
        <f ca="1"/>
        <v>R-7b</v>
      </c>
      <c r="O210" t="str">
        <f ca="1"/>
        <v>R-7b</v>
      </c>
      <c r="P210">
        <f ca="1"/>
        <v>0</v>
      </c>
      <c r="Q210">
        <f ca="1"/>
        <v>-0.94616090395726538</v>
      </c>
      <c r="R210" s="2">
        <f ca="1"/>
        <v>3.2199999999999998</v>
      </c>
      <c r="S210">
        <f ca="1"/>
        <v>0.64000000000000012</v>
      </c>
      <c r="T210">
        <f ca="1"/>
        <v>690559.03584176197</v>
      </c>
      <c r="U210">
        <f ca="1"/>
        <v>7568243.9630332896</v>
      </c>
    </row>
    <row r="211" spans="1:21" x14ac:dyDescent="0.25">
      <c r="A211">
        <f ca="1"/>
        <v>210</v>
      </c>
      <c r="B211" t="str">
        <f ca="1"/>
        <v>SX</v>
      </c>
      <c r="C211" t="str">
        <f ca="1"/>
        <v>Z</v>
      </c>
      <c r="D211" t="str">
        <f ca="1"/>
        <v>R-7b_U</v>
      </c>
      <c r="E211">
        <f ca="1"/>
        <v>0</v>
      </c>
      <c r="F211">
        <f ca="1"/>
        <v>0</v>
      </c>
      <c r="G211">
        <f ca="1"/>
        <v>0</v>
      </c>
      <c r="H211">
        <f ca="1"/>
        <v>0</v>
      </c>
      <c r="I211">
        <f ca="1"/>
        <v>0</v>
      </c>
      <c r="J211">
        <f ca="1"/>
        <v>105</v>
      </c>
      <c r="K211">
        <f ca="1"/>
        <v>1</v>
      </c>
      <c r="L211">
        <f ca="1"/>
        <v>690560.71610873996</v>
      </c>
      <c r="M211">
        <f ca="1"/>
        <v>7568244.385410944</v>
      </c>
      <c r="N211" t="str">
        <f ca="1"/>
        <v>R-7b</v>
      </c>
      <c r="O211" t="str">
        <f ca="1"/>
        <v>R-7b</v>
      </c>
      <c r="P211">
        <f ca="1"/>
        <v>0</v>
      </c>
      <c r="Q211">
        <f ca="1"/>
        <v>-0.94616090395726538</v>
      </c>
      <c r="R211" s="2">
        <f ca="1"/>
        <v>3.2199999999999998</v>
      </c>
      <c r="S211">
        <f ca="1"/>
        <v>0.64000000000000012</v>
      </c>
      <c r="T211">
        <f ca="1"/>
        <v>690559.03584176197</v>
      </c>
      <c r="U211">
        <f ca="1"/>
        <v>7568243.9630332896</v>
      </c>
    </row>
    <row r="212" spans="1:21" x14ac:dyDescent="0.25">
      <c r="A212">
        <f ca="1"/>
        <v>211</v>
      </c>
      <c r="B212" t="str">
        <f ca="1"/>
        <v>CN</v>
      </c>
      <c r="C212" t="str">
        <f ca="1"/>
        <v>Z</v>
      </c>
      <c r="D212" t="str">
        <f ca="1"/>
        <v>R-7b_U</v>
      </c>
      <c r="E212">
        <f ca="1"/>
        <v>0</v>
      </c>
      <c r="F212">
        <f ca="1"/>
        <v>0</v>
      </c>
      <c r="G212">
        <f ca="1"/>
        <v>0</v>
      </c>
      <c r="H212">
        <f ca="1"/>
        <v>0</v>
      </c>
      <c r="I212">
        <f ca="1"/>
        <v>0</v>
      </c>
      <c r="J212">
        <f ca="1"/>
        <v>106</v>
      </c>
      <c r="K212">
        <f ca="1"/>
        <v>0</v>
      </c>
      <c r="L212">
        <f ca="1"/>
        <v>690559.03584176197</v>
      </c>
      <c r="M212">
        <f ca="1"/>
        <v>7568243.9630332896</v>
      </c>
      <c r="N212" t="str">
        <f ca="1"/>
        <v>R-7b</v>
      </c>
      <c r="O212" t="str">
        <f ca="1"/>
        <v>R-7b</v>
      </c>
      <c r="P212">
        <f ca="1"/>
        <v>0</v>
      </c>
      <c r="Q212">
        <f ca="1"/>
        <v>-0.94616090395726538</v>
      </c>
      <c r="R212" s="2">
        <f ca="1"/>
        <v>3.2199999999999998</v>
      </c>
      <c r="S212">
        <f ca="1"/>
        <v>0.64000000000000012</v>
      </c>
      <c r="T212">
        <f ca="1"/>
        <v>690559.03584176197</v>
      </c>
      <c r="U212">
        <f ca="1"/>
        <v>7568243.9630332896</v>
      </c>
    </row>
    <row r="213" spans="1:21" x14ac:dyDescent="0.25">
      <c r="A213">
        <f ca="1"/>
        <v>212</v>
      </c>
      <c r="B213" t="str">
        <f ca="1"/>
        <v>CN</v>
      </c>
      <c r="C213" t="str">
        <f ca="1"/>
        <v>Z</v>
      </c>
      <c r="D213" t="str">
        <f ca="1"/>
        <v>R-7b_U</v>
      </c>
      <c r="E213">
        <f ca="1"/>
        <v>0</v>
      </c>
      <c r="F213">
        <f ca="1"/>
        <v>0</v>
      </c>
      <c r="G213">
        <f ca="1"/>
        <v>0</v>
      </c>
      <c r="H213">
        <f ca="1"/>
        <v>0</v>
      </c>
      <c r="I213">
        <f ca="1"/>
        <v>0</v>
      </c>
      <c r="J213">
        <f ca="1"/>
        <v>106</v>
      </c>
      <c r="K213">
        <f ca="1"/>
        <v>1</v>
      </c>
      <c r="L213">
        <f ca="1"/>
        <v>690560.71610873996</v>
      </c>
      <c r="M213">
        <f ca="1"/>
        <v>7568244.385410944</v>
      </c>
      <c r="N213" t="str">
        <f ca="1"/>
        <v>R-7b</v>
      </c>
      <c r="O213" t="str">
        <f ca="1"/>
        <v>R-7b</v>
      </c>
      <c r="P213">
        <f ca="1"/>
        <v>0</v>
      </c>
      <c r="Q213">
        <f ca="1"/>
        <v>-0.94616090395726538</v>
      </c>
      <c r="R213" s="2">
        <f ca="1"/>
        <v>3.2199999999999998</v>
      </c>
      <c r="S213">
        <f ca="1"/>
        <v>0.64000000000000012</v>
      </c>
      <c r="T213">
        <f ca="1"/>
        <v>690559.03584176197</v>
      </c>
      <c r="U213">
        <f ca="1"/>
        <v>7568243.9630332896</v>
      </c>
    </row>
    <row r="214" spans="1:21" x14ac:dyDescent="0.25">
      <c r="A214">
        <f ca="1"/>
        <v>213</v>
      </c>
      <c r="B214" t="str">
        <f ca="1"/>
        <v>SX</v>
      </c>
      <c r="C214" t="str">
        <f ca="1"/>
        <v>Z</v>
      </c>
      <c r="D214" t="str">
        <f ca="1"/>
        <v>R-7b_D</v>
      </c>
      <c r="E214">
        <f ca="1"/>
        <v>0</v>
      </c>
      <c r="F214">
        <f ca="1"/>
        <v>0</v>
      </c>
      <c r="G214">
        <f ca="1"/>
        <v>0</v>
      </c>
      <c r="H214">
        <f ca="1"/>
        <v>0</v>
      </c>
      <c r="I214">
        <f ca="1"/>
        <v>0</v>
      </c>
      <c r="J214">
        <f ca="1"/>
        <v>107</v>
      </c>
      <c r="K214">
        <f ca="1"/>
        <v>0</v>
      </c>
      <c r="L214">
        <f ca="1"/>
        <v>690539.81333962642</v>
      </c>
      <c r="M214">
        <f ca="1"/>
        <v>7568273.3795745485</v>
      </c>
      <c r="N214" t="str">
        <f ca="1"/>
        <v>R-7b</v>
      </c>
      <c r="O214" t="str">
        <f ca="1"/>
        <v>R-7b</v>
      </c>
      <c r="P214">
        <f ca="1"/>
        <v>1</v>
      </c>
      <c r="Q214">
        <f ca="1"/>
        <v>2.1954317496325277</v>
      </c>
      <c r="R214" s="2">
        <f ca="1"/>
        <v>3.2199999999999998</v>
      </c>
      <c r="S214">
        <f ca="1"/>
        <v>0.64000000000000012</v>
      </c>
      <c r="T214">
        <f ca="1"/>
        <v>690538.88161866495</v>
      </c>
      <c r="U214">
        <f ca="1"/>
        <v>7568271.91889113</v>
      </c>
    </row>
    <row r="215" spans="1:21" x14ac:dyDescent="0.25">
      <c r="A215">
        <f ca="1"/>
        <v>214</v>
      </c>
      <c r="B215" t="str">
        <f ca="1"/>
        <v>SX</v>
      </c>
      <c r="C215" t="str">
        <f ca="1"/>
        <v>Z</v>
      </c>
      <c r="D215" t="str">
        <f ca="1"/>
        <v>R-7b_D</v>
      </c>
      <c r="E215">
        <f ca="1"/>
        <v>0</v>
      </c>
      <c r="F215">
        <f ca="1"/>
        <v>0</v>
      </c>
      <c r="G215">
        <f ca="1"/>
        <v>0</v>
      </c>
      <c r="H215">
        <f ca="1"/>
        <v>0</v>
      </c>
      <c r="I215">
        <f ca="1"/>
        <v>0</v>
      </c>
      <c r="J215">
        <f ca="1"/>
        <v>107</v>
      </c>
      <c r="K215">
        <f ca="1"/>
        <v>1</v>
      </c>
      <c r="L215">
        <f ca="1"/>
        <v>690537.20135168696</v>
      </c>
      <c r="M215">
        <f ca="1"/>
        <v>7568271.4965134757</v>
      </c>
      <c r="N215" t="str">
        <f ca="1"/>
        <v>R-7b</v>
      </c>
      <c r="O215" t="str">
        <f ca="1"/>
        <v>R-7b</v>
      </c>
      <c r="P215">
        <f ca="1"/>
        <v>1</v>
      </c>
      <c r="Q215">
        <f ca="1"/>
        <v>2.1954317496325277</v>
      </c>
      <c r="R215" s="2">
        <f ca="1"/>
        <v>3.2199999999999998</v>
      </c>
      <c r="S215">
        <f ca="1"/>
        <v>0.64000000000000012</v>
      </c>
      <c r="T215">
        <f ca="1"/>
        <v>690538.88161866495</v>
      </c>
      <c r="U215">
        <f ca="1"/>
        <v>7568271.91889113</v>
      </c>
    </row>
    <row r="216" spans="1:21" x14ac:dyDescent="0.25">
      <c r="A216">
        <f ca="1"/>
        <v>215</v>
      </c>
      <c r="B216" t="str">
        <f ca="1"/>
        <v>CN</v>
      </c>
      <c r="C216" t="str">
        <f ca="1"/>
        <v>Z</v>
      </c>
      <c r="D216" t="str">
        <f ca="1"/>
        <v>R-7b_D</v>
      </c>
      <c r="E216">
        <f ca="1"/>
        <v>0</v>
      </c>
      <c r="F216">
        <f ca="1"/>
        <v>0</v>
      </c>
      <c r="G216">
        <f ca="1"/>
        <v>0</v>
      </c>
      <c r="H216">
        <f ca="1"/>
        <v>0</v>
      </c>
      <c r="I216">
        <f ca="1"/>
        <v>0</v>
      </c>
      <c r="J216">
        <f ca="1"/>
        <v>108</v>
      </c>
      <c r="K216">
        <f ca="1"/>
        <v>0</v>
      </c>
      <c r="L216">
        <f ca="1"/>
        <v>690538.88161866495</v>
      </c>
      <c r="M216">
        <f ca="1"/>
        <v>7568271.91889113</v>
      </c>
      <c r="N216" t="str">
        <f ca="1"/>
        <v>R-7b</v>
      </c>
      <c r="O216" t="str">
        <f ca="1"/>
        <v>R-7b</v>
      </c>
      <c r="P216">
        <f ca="1"/>
        <v>1</v>
      </c>
      <c r="Q216">
        <f ca="1"/>
        <v>2.1954317496325277</v>
      </c>
      <c r="R216" s="2">
        <f ca="1"/>
        <v>3.2199999999999998</v>
      </c>
      <c r="S216">
        <f ca="1"/>
        <v>0.64000000000000012</v>
      </c>
      <c r="T216">
        <f ca="1"/>
        <v>690538.88161866495</v>
      </c>
      <c r="U216">
        <f ca="1"/>
        <v>7568271.91889113</v>
      </c>
    </row>
    <row r="217" spans="1:21" x14ac:dyDescent="0.25">
      <c r="A217">
        <f ca="1"/>
        <v>216</v>
      </c>
      <c r="B217" t="str">
        <f ca="1"/>
        <v>CN</v>
      </c>
      <c r="C217" t="str">
        <f ca="1"/>
        <v>Z</v>
      </c>
      <c r="D217" t="str">
        <f ca="1"/>
        <v>R-7b_D</v>
      </c>
      <c r="E217">
        <f ca="1"/>
        <v>0</v>
      </c>
      <c r="F217">
        <f ca="1"/>
        <v>0</v>
      </c>
      <c r="G217">
        <f ca="1"/>
        <v>0</v>
      </c>
      <c r="H217">
        <f ca="1"/>
        <v>0</v>
      </c>
      <c r="I217">
        <f ca="1"/>
        <v>0</v>
      </c>
      <c r="J217">
        <f ca="1"/>
        <v>108</v>
      </c>
      <c r="K217">
        <f ca="1"/>
        <v>1</v>
      </c>
      <c r="L217">
        <f ca="1"/>
        <v>690537.20135168696</v>
      </c>
      <c r="M217">
        <f ca="1"/>
        <v>7568271.4965134757</v>
      </c>
      <c r="N217" t="str">
        <f ca="1"/>
        <v>R-7b</v>
      </c>
      <c r="O217" t="str">
        <f ca="1"/>
        <v>R-7b</v>
      </c>
      <c r="P217">
        <f ca="1"/>
        <v>1</v>
      </c>
      <c r="Q217">
        <f ca="1"/>
        <v>2.1954317496325277</v>
      </c>
      <c r="R217" s="2">
        <f ca="1"/>
        <v>3.2199999999999998</v>
      </c>
      <c r="S217">
        <f ca="1"/>
        <v>0.64000000000000012</v>
      </c>
      <c r="T217">
        <f ca="1"/>
        <v>690538.88161866495</v>
      </c>
      <c r="U217">
        <f ca="1"/>
        <v>7568271.91889113</v>
      </c>
    </row>
    <row r="218" spans="1:21" x14ac:dyDescent="0.25">
      <c r="A218">
        <f ca="1"/>
        <v>217</v>
      </c>
      <c r="B218" t="str">
        <f ca="1"/>
        <v>SX</v>
      </c>
      <c r="C218" t="str">
        <f ca="1"/>
        <v>Z</v>
      </c>
      <c r="D218" t="str">
        <f ca="1"/>
        <v>R-7c_U</v>
      </c>
      <c r="E218">
        <f ca="1"/>
        <v>0</v>
      </c>
      <c r="F218">
        <f ca="1"/>
        <v>0</v>
      </c>
      <c r="G218">
        <f ca="1"/>
        <v>0</v>
      </c>
      <c r="H218">
        <f ca="1"/>
        <v>0</v>
      </c>
      <c r="I218">
        <f ca="1"/>
        <v>0</v>
      </c>
      <c r="J218">
        <f ca="1"/>
        <v>109</v>
      </c>
      <c r="K218">
        <f ca="1"/>
        <v>0</v>
      </c>
      <c r="L218">
        <f ca="1"/>
        <v>690269.66487740201</v>
      </c>
      <c r="M218">
        <f ca="1"/>
        <v>7567895.8683046205</v>
      </c>
      <c r="N218" t="str">
        <f ca="1"/>
        <v>R-7c</v>
      </c>
      <c r="O218" t="str">
        <f ca="1"/>
        <v>R-7c</v>
      </c>
      <c r="P218">
        <f ca="1"/>
        <v>0</v>
      </c>
      <c r="Q218">
        <f ca="1"/>
        <v>-1.3783547250147983</v>
      </c>
      <c r="R218" s="2">
        <f ca="1"/>
        <v>1.708</v>
      </c>
      <c r="S218">
        <f ca="1"/>
        <v>0.64000000000000012</v>
      </c>
      <c r="T218">
        <f ca="1"/>
        <v>690270.38070888899</v>
      </c>
      <c r="U218">
        <f ca="1"/>
        <v>7567896.6598229604</v>
      </c>
    </row>
    <row r="219" spans="1:21" x14ac:dyDescent="0.25">
      <c r="A219">
        <f ca="1"/>
        <v>218</v>
      </c>
      <c r="B219" t="str">
        <f ca="1"/>
        <v>SX</v>
      </c>
      <c r="C219" t="str">
        <f ca="1"/>
        <v>Z</v>
      </c>
      <c r="D219" t="str">
        <f ca="1"/>
        <v>R-7c_U</v>
      </c>
      <c r="E219">
        <f ca="1"/>
        <v>0</v>
      </c>
      <c r="F219">
        <f ca="1"/>
        <v>0</v>
      </c>
      <c r="G219">
        <f ca="1"/>
        <v>0</v>
      </c>
      <c r="H219">
        <f ca="1"/>
        <v>0</v>
      </c>
      <c r="I219">
        <f ca="1"/>
        <v>0</v>
      </c>
      <c r="J219">
        <f ca="1"/>
        <v>109</v>
      </c>
      <c r="K219">
        <f ca="1"/>
        <v>1</v>
      </c>
      <c r="L219">
        <f ca="1"/>
        <v>690271.34134804702</v>
      </c>
      <c r="M219">
        <f ca="1"/>
        <v>7567896.1949698562</v>
      </c>
      <c r="N219" t="str">
        <f ca="1"/>
        <v>R-7c</v>
      </c>
      <c r="O219" t="str">
        <f ca="1"/>
        <v>R-7c</v>
      </c>
      <c r="P219">
        <f ca="1"/>
        <v>0</v>
      </c>
      <c r="Q219">
        <f ca="1"/>
        <v>-1.3783547250147983</v>
      </c>
      <c r="R219" s="2">
        <f ca="1"/>
        <v>1.708</v>
      </c>
      <c r="S219">
        <f ca="1"/>
        <v>0.64000000000000012</v>
      </c>
      <c r="T219">
        <f ca="1"/>
        <v>690270.38070888899</v>
      </c>
      <c r="U219">
        <f ca="1"/>
        <v>7567896.6598229604</v>
      </c>
    </row>
    <row r="220" spans="1:21" x14ac:dyDescent="0.25">
      <c r="A220">
        <f ca="1"/>
        <v>219</v>
      </c>
      <c r="B220" t="str">
        <f ca="1"/>
        <v>CN</v>
      </c>
      <c r="C220" t="str">
        <f ca="1"/>
        <v>Z</v>
      </c>
      <c r="D220" t="str">
        <f ca="1"/>
        <v>R-7c_U</v>
      </c>
      <c r="E220">
        <f ca="1"/>
        <v>0</v>
      </c>
      <c r="F220">
        <f ca="1"/>
        <v>0</v>
      </c>
      <c r="G220">
        <f ca="1"/>
        <v>0</v>
      </c>
      <c r="H220">
        <f ca="1"/>
        <v>0</v>
      </c>
      <c r="I220">
        <f ca="1"/>
        <v>0</v>
      </c>
      <c r="J220">
        <f ca="1"/>
        <v>110</v>
      </c>
      <c r="K220">
        <f ca="1"/>
        <v>0</v>
      </c>
      <c r="L220">
        <f ca="1"/>
        <v>690270.38070888899</v>
      </c>
      <c r="M220">
        <f ca="1"/>
        <v>7567896.6598229604</v>
      </c>
      <c r="N220" t="str">
        <f ca="1"/>
        <v>R-7c</v>
      </c>
      <c r="O220" t="str">
        <f ca="1"/>
        <v>R-7c</v>
      </c>
      <c r="P220">
        <f ca="1"/>
        <v>0</v>
      </c>
      <c r="Q220">
        <f ca="1"/>
        <v>-1.3783547250147983</v>
      </c>
      <c r="R220" s="2">
        <f ca="1"/>
        <v>1.708</v>
      </c>
      <c r="S220">
        <f ca="1"/>
        <v>0.64000000000000012</v>
      </c>
      <c r="T220">
        <f ca="1"/>
        <v>690270.38070888899</v>
      </c>
      <c r="U220">
        <f ca="1"/>
        <v>7567896.6598229604</v>
      </c>
    </row>
    <row r="221" spans="1:21" x14ac:dyDescent="0.25">
      <c r="A221">
        <f ca="1"/>
        <v>220</v>
      </c>
      <c r="B221" t="str">
        <f ca="1"/>
        <v>CN</v>
      </c>
      <c r="C221" t="str">
        <f ca="1"/>
        <v>Z</v>
      </c>
      <c r="D221" t="str">
        <f ca="1"/>
        <v>R-7c_U</v>
      </c>
      <c r="E221">
        <f ca="1"/>
        <v>0</v>
      </c>
      <c r="F221">
        <f ca="1"/>
        <v>0</v>
      </c>
      <c r="G221">
        <f ca="1"/>
        <v>0</v>
      </c>
      <c r="H221">
        <f ca="1"/>
        <v>0</v>
      </c>
      <c r="I221">
        <f ca="1"/>
        <v>0</v>
      </c>
      <c r="J221">
        <f ca="1"/>
        <v>110</v>
      </c>
      <c r="K221">
        <f ca="1"/>
        <v>1</v>
      </c>
      <c r="L221">
        <f ca="1"/>
        <v>690271.34134804702</v>
      </c>
      <c r="M221">
        <f ca="1"/>
        <v>7567896.1949698562</v>
      </c>
      <c r="N221" t="str">
        <f ca="1"/>
        <v>R-7c</v>
      </c>
      <c r="O221" t="str">
        <f ca="1"/>
        <v>R-7c</v>
      </c>
      <c r="P221">
        <f ca="1"/>
        <v>0</v>
      </c>
      <c r="Q221">
        <f ca="1"/>
        <v>-1.3783547250147983</v>
      </c>
      <c r="R221" s="2">
        <f ca="1"/>
        <v>1.708</v>
      </c>
      <c r="S221">
        <f ca="1"/>
        <v>0.64000000000000012</v>
      </c>
      <c r="T221">
        <f ca="1"/>
        <v>690270.38070888899</v>
      </c>
      <c r="U221">
        <f ca="1"/>
        <v>7567896.6598229604</v>
      </c>
    </row>
    <row r="222" spans="1:21" x14ac:dyDescent="0.25">
      <c r="A222">
        <f ca="1"/>
        <v>221</v>
      </c>
      <c r="B222" t="str">
        <f ca="1"/>
        <v>SX</v>
      </c>
      <c r="C222" t="str">
        <f ca="1"/>
        <v>Z</v>
      </c>
      <c r="D222" t="str">
        <f ca="1"/>
        <v>R-7c_D</v>
      </c>
      <c r="E222">
        <f ca="1"/>
        <v>0</v>
      </c>
      <c r="F222">
        <f ca="1"/>
        <v>0</v>
      </c>
      <c r="G222">
        <f ca="1"/>
        <v>0</v>
      </c>
      <c r="H222">
        <f ca="1"/>
        <v>0</v>
      </c>
      <c r="I222">
        <f ca="1"/>
        <v>0</v>
      </c>
      <c r="J222">
        <f ca="1"/>
        <v>111</v>
      </c>
      <c r="K222">
        <f ca="1"/>
        <v>0</v>
      </c>
      <c r="L222">
        <f ca="1"/>
        <v>690261.885906287</v>
      </c>
      <c r="M222">
        <f ca="1"/>
        <v>7567944.72101059</v>
      </c>
      <c r="N222" t="str">
        <f ca="1"/>
        <v>R-7c</v>
      </c>
      <c r="O222" t="str">
        <f ca="1"/>
        <v>R-7c</v>
      </c>
      <c r="P222">
        <f ca="1"/>
        <v>1</v>
      </c>
      <c r="Q222">
        <f ca="1"/>
        <v>1.7632379285749948</v>
      </c>
      <c r="R222" s="2">
        <f ca="1"/>
        <v>1.708</v>
      </c>
      <c r="S222">
        <f ca="1"/>
        <v>0.64000000000000012</v>
      </c>
      <c r="T222">
        <f ca="1"/>
        <v>690261.17007480003</v>
      </c>
      <c r="U222">
        <f ca="1"/>
        <v>7567943.9294922501</v>
      </c>
    </row>
    <row r="223" spans="1:21" x14ac:dyDescent="0.25">
      <c r="A223">
        <f ca="1"/>
        <v>222</v>
      </c>
      <c r="B223" t="str">
        <f ca="1"/>
        <v>SX</v>
      </c>
      <c r="C223" t="str">
        <f ca="1"/>
        <v>Z</v>
      </c>
      <c r="D223" t="str">
        <f ca="1"/>
        <v>R-7c_D</v>
      </c>
      <c r="E223">
        <f ca="1"/>
        <v>0</v>
      </c>
      <c r="F223">
        <f ca="1"/>
        <v>0</v>
      </c>
      <c r="G223">
        <f ca="1"/>
        <v>0</v>
      </c>
      <c r="H223">
        <f ca="1"/>
        <v>0</v>
      </c>
      <c r="I223">
        <f ca="1"/>
        <v>0</v>
      </c>
      <c r="J223">
        <f ca="1"/>
        <v>111</v>
      </c>
      <c r="K223">
        <f ca="1"/>
        <v>1</v>
      </c>
      <c r="L223">
        <f ca="1"/>
        <v>690260.209435642</v>
      </c>
      <c r="M223">
        <f ca="1"/>
        <v>7567944.3943453543</v>
      </c>
      <c r="N223" t="str">
        <f ca="1"/>
        <v>R-7c</v>
      </c>
      <c r="O223" t="str">
        <f ca="1"/>
        <v>R-7c</v>
      </c>
      <c r="P223">
        <f ca="1"/>
        <v>1</v>
      </c>
      <c r="Q223">
        <f ca="1"/>
        <v>1.7632379285749948</v>
      </c>
      <c r="R223" s="2">
        <f ca="1"/>
        <v>1.708</v>
      </c>
      <c r="S223">
        <f ca="1"/>
        <v>0.64000000000000012</v>
      </c>
      <c r="T223">
        <f ca="1"/>
        <v>690261.17007480003</v>
      </c>
      <c r="U223">
        <f ca="1"/>
        <v>7567943.9294922501</v>
      </c>
    </row>
    <row r="224" spans="1:21" x14ac:dyDescent="0.25">
      <c r="A224">
        <f ca="1"/>
        <v>223</v>
      </c>
      <c r="B224" t="str">
        <f ca="1"/>
        <v>CN</v>
      </c>
      <c r="C224" t="str">
        <f ca="1"/>
        <v>Z</v>
      </c>
      <c r="D224" t="str">
        <f ca="1"/>
        <v>R-7c_D</v>
      </c>
      <c r="E224">
        <f ca="1"/>
        <v>0</v>
      </c>
      <c r="F224">
        <f ca="1"/>
        <v>0</v>
      </c>
      <c r="G224">
        <f ca="1"/>
        <v>0</v>
      </c>
      <c r="H224">
        <f ca="1"/>
        <v>0</v>
      </c>
      <c r="I224">
        <f ca="1"/>
        <v>0</v>
      </c>
      <c r="J224">
        <f ca="1"/>
        <v>112</v>
      </c>
      <c r="K224">
        <f ca="1"/>
        <v>0</v>
      </c>
      <c r="L224">
        <f ca="1"/>
        <v>690261.17007480003</v>
      </c>
      <c r="M224">
        <f ca="1"/>
        <v>7567943.9294922501</v>
      </c>
      <c r="N224" t="str">
        <f ca="1"/>
        <v>R-7c</v>
      </c>
      <c r="O224" t="str">
        <f ca="1"/>
        <v>R-7c</v>
      </c>
      <c r="P224">
        <f ca="1"/>
        <v>1</v>
      </c>
      <c r="Q224">
        <f ca="1"/>
        <v>1.7632379285749948</v>
      </c>
      <c r="R224" s="2">
        <f ca="1"/>
        <v>1.708</v>
      </c>
      <c r="S224">
        <f ca="1"/>
        <v>0.64000000000000012</v>
      </c>
      <c r="T224">
        <f ca="1"/>
        <v>690261.17007480003</v>
      </c>
      <c r="U224">
        <f ca="1"/>
        <v>7567943.9294922501</v>
      </c>
    </row>
    <row r="225" spans="1:21" x14ac:dyDescent="0.25">
      <c r="A225">
        <f ca="1"/>
        <v>224</v>
      </c>
      <c r="B225" t="str">
        <f ca="1"/>
        <v>CN</v>
      </c>
      <c r="C225" t="str">
        <f ca="1"/>
        <v>Z</v>
      </c>
      <c r="D225" t="str">
        <f ca="1"/>
        <v>R-7c_D</v>
      </c>
      <c r="E225">
        <f ca="1"/>
        <v>0</v>
      </c>
      <c r="F225">
        <f ca="1"/>
        <v>0</v>
      </c>
      <c r="G225">
        <f ca="1"/>
        <v>0</v>
      </c>
      <c r="H225">
        <f ca="1"/>
        <v>0</v>
      </c>
      <c r="I225">
        <f ca="1"/>
        <v>0</v>
      </c>
      <c r="J225">
        <f ca="1"/>
        <v>112</v>
      </c>
      <c r="K225">
        <f ca="1"/>
        <v>1</v>
      </c>
      <c r="L225">
        <f ca="1"/>
        <v>690260.209435642</v>
      </c>
      <c r="M225">
        <f ca="1"/>
        <v>7567944.3943453543</v>
      </c>
      <c r="N225" t="str">
        <f ca="1"/>
        <v>R-7c</v>
      </c>
      <c r="O225" t="str">
        <f ca="1"/>
        <v>R-7c</v>
      </c>
      <c r="P225">
        <f ca="1"/>
        <v>1</v>
      </c>
      <c r="Q225">
        <f ca="1"/>
        <v>1.7632379285749948</v>
      </c>
      <c r="R225" s="2">
        <f ca="1"/>
        <v>1.708</v>
      </c>
      <c r="S225">
        <f ca="1"/>
        <v>0.64000000000000012</v>
      </c>
      <c r="T225">
        <f ca="1"/>
        <v>690261.17007480003</v>
      </c>
      <c r="U225">
        <f ca="1"/>
        <v>7567943.9294922501</v>
      </c>
    </row>
    <row r="226" spans="1:21" x14ac:dyDescent="0.25">
      <c r="A226">
        <f ca="1"/>
        <v>225</v>
      </c>
      <c r="B226" t="str">
        <f ca="1"/>
        <v>SX</v>
      </c>
      <c r="C226" t="str">
        <f ca="1"/>
        <v>Z</v>
      </c>
      <c r="D226" t="str">
        <f ca="1"/>
        <v>R-8_U</v>
      </c>
      <c r="E226">
        <f ca="1"/>
        <v>0</v>
      </c>
      <c r="F226">
        <f ca="1"/>
        <v>0</v>
      </c>
      <c r="G226">
        <f ca="1"/>
        <v>0</v>
      </c>
      <c r="H226">
        <f ca="1"/>
        <v>0</v>
      </c>
      <c r="I226">
        <f ca="1"/>
        <v>0</v>
      </c>
      <c r="J226">
        <f ca="1"/>
        <v>113</v>
      </c>
      <c r="K226">
        <f ca="1"/>
        <v>0</v>
      </c>
      <c r="L226">
        <f ca="1"/>
        <v>691276.24713262951</v>
      </c>
      <c r="M226">
        <f ca="1"/>
        <v>7569100.4253933914</v>
      </c>
      <c r="N226" t="str">
        <f ca="1"/>
        <v>R-8</v>
      </c>
      <c r="O226" t="str">
        <f ca="1"/>
        <v>R-8</v>
      </c>
      <c r="P226">
        <f ca="1"/>
        <v>0</v>
      </c>
      <c r="Q226">
        <f ca="1"/>
        <v>-0.51305790936223161</v>
      </c>
      <c r="R226" s="2">
        <f ca="1"/>
        <v>14.307999999999998</v>
      </c>
      <c r="S226">
        <f ca="1"/>
        <v>0.64000000000000012</v>
      </c>
      <c r="T226">
        <f ca="1"/>
        <v>691279.20103022002</v>
      </c>
      <c r="U226">
        <f ca="1"/>
        <v>7569106.97243891</v>
      </c>
    </row>
    <row r="227" spans="1:21" x14ac:dyDescent="0.25">
      <c r="A227">
        <f ca="1"/>
        <v>226</v>
      </c>
      <c r="B227" t="str">
        <f ca="1"/>
        <v>SX</v>
      </c>
      <c r="C227" t="str">
        <f ca="1"/>
        <v>Z</v>
      </c>
      <c r="D227" t="str">
        <f ca="1"/>
        <v>R-8_U</v>
      </c>
      <c r="E227">
        <f ca="1"/>
        <v>0</v>
      </c>
      <c r="F227">
        <f ca="1"/>
        <v>0</v>
      </c>
      <c r="G227">
        <f ca="1"/>
        <v>0</v>
      </c>
      <c r="H227">
        <f ca="1"/>
        <v>0</v>
      </c>
      <c r="I227">
        <f ca="1"/>
        <v>0</v>
      </c>
      <c r="J227">
        <f ca="1"/>
        <v>113</v>
      </c>
      <c r="K227">
        <f ca="1"/>
        <v>1</v>
      </c>
      <c r="L227">
        <f ca="1"/>
        <v>691283.27012477408</v>
      </c>
      <c r="M227">
        <f ca="1"/>
        <v>7569112.8912044493</v>
      </c>
      <c r="N227" t="str">
        <f ca="1"/>
        <v>R-8</v>
      </c>
      <c r="O227" t="str">
        <f ca="1"/>
        <v>R-8</v>
      </c>
      <c r="P227">
        <f ca="1"/>
        <v>0</v>
      </c>
      <c r="Q227">
        <f ca="1"/>
        <v>-0.51305790936223161</v>
      </c>
      <c r="R227" s="2">
        <f ca="1"/>
        <v>14.307999999999998</v>
      </c>
      <c r="S227">
        <f ca="1"/>
        <v>0.64000000000000012</v>
      </c>
      <c r="T227">
        <f ca="1"/>
        <v>691279.20103022002</v>
      </c>
      <c r="U227">
        <f ca="1"/>
        <v>7569106.97243891</v>
      </c>
    </row>
    <row r="228" spans="1:21" x14ac:dyDescent="0.25">
      <c r="A228">
        <f ca="1"/>
        <v>227</v>
      </c>
      <c r="B228" t="str">
        <f ca="1"/>
        <v>CN</v>
      </c>
      <c r="C228" t="str">
        <f ca="1"/>
        <v>Z</v>
      </c>
      <c r="D228" t="str">
        <f ca="1"/>
        <v>R-8_U</v>
      </c>
      <c r="E228">
        <f ca="1"/>
        <v>0</v>
      </c>
      <c r="F228">
        <f ca="1"/>
        <v>0</v>
      </c>
      <c r="G228">
        <f ca="1"/>
        <v>0</v>
      </c>
      <c r="H228">
        <f ca="1"/>
        <v>0</v>
      </c>
      <c r="I228">
        <f ca="1"/>
        <v>0</v>
      </c>
      <c r="J228">
        <f ca="1"/>
        <v>114</v>
      </c>
      <c r="K228">
        <f ca="1"/>
        <v>0</v>
      </c>
      <c r="L228">
        <f ca="1"/>
        <v>691279.20103022002</v>
      </c>
      <c r="M228">
        <f ca="1"/>
        <v>7569106.97243891</v>
      </c>
      <c r="N228" t="str">
        <f ca="1"/>
        <v>R-8</v>
      </c>
      <c r="O228" t="str">
        <f ca="1"/>
        <v>R-8</v>
      </c>
      <c r="P228">
        <f ca="1"/>
        <v>0</v>
      </c>
      <c r="Q228">
        <f ca="1"/>
        <v>-0.51305790936223161</v>
      </c>
      <c r="R228" s="2">
        <f ca="1"/>
        <v>14.307999999999998</v>
      </c>
      <c r="S228">
        <f ca="1"/>
        <v>0.64000000000000012</v>
      </c>
      <c r="T228">
        <f ca="1"/>
        <v>691279.20103022002</v>
      </c>
      <c r="U228">
        <f ca="1"/>
        <v>7569106.97243891</v>
      </c>
    </row>
    <row r="229" spans="1:21" x14ac:dyDescent="0.25">
      <c r="A229">
        <f ca="1"/>
        <v>228</v>
      </c>
      <c r="B229" t="str">
        <f ca="1"/>
        <v>CN</v>
      </c>
      <c r="C229" t="str">
        <f ca="1"/>
        <v>Z</v>
      </c>
      <c r="D229" t="str">
        <f ca="1"/>
        <v>R-8_U</v>
      </c>
      <c r="E229">
        <f ca="1"/>
        <v>0</v>
      </c>
      <c r="F229">
        <f ca="1"/>
        <v>0</v>
      </c>
      <c r="G229">
        <f ca="1"/>
        <v>0</v>
      </c>
      <c r="H229">
        <f ca="1"/>
        <v>0</v>
      </c>
      <c r="I229">
        <f ca="1"/>
        <v>0</v>
      </c>
      <c r="J229">
        <f ca="1"/>
        <v>114</v>
      </c>
      <c r="K229">
        <f ca="1"/>
        <v>1</v>
      </c>
      <c r="L229">
        <f ca="1"/>
        <v>691283.27012477408</v>
      </c>
      <c r="M229">
        <f ca="1"/>
        <v>7569112.8912044493</v>
      </c>
      <c r="N229" t="str">
        <f ca="1"/>
        <v>R-8</v>
      </c>
      <c r="O229" t="str">
        <f ca="1"/>
        <v>R-8</v>
      </c>
      <c r="P229">
        <f ca="1"/>
        <v>0</v>
      </c>
      <c r="Q229">
        <f ca="1"/>
        <v>-0.51305790936223161</v>
      </c>
      <c r="R229" s="2">
        <f ca="1"/>
        <v>14.307999999999998</v>
      </c>
      <c r="S229">
        <f ca="1"/>
        <v>0.64000000000000012</v>
      </c>
      <c r="T229">
        <f ca="1"/>
        <v>691279.20103022002</v>
      </c>
      <c r="U229">
        <f ca="1"/>
        <v>7569106.97243891</v>
      </c>
    </row>
    <row r="230" spans="1:21" x14ac:dyDescent="0.25">
      <c r="A230">
        <f ca="1"/>
        <v>229</v>
      </c>
      <c r="B230" t="str">
        <f ca="1"/>
        <v>SX</v>
      </c>
      <c r="C230" t="str">
        <f ca="1"/>
        <v>Z</v>
      </c>
      <c r="D230" t="str">
        <f ca="1"/>
        <v>R-8_D</v>
      </c>
      <c r="E230">
        <f ca="1"/>
        <v>0</v>
      </c>
      <c r="F230">
        <f ca="1"/>
        <v>0</v>
      </c>
      <c r="G230">
        <f ca="1"/>
        <v>0</v>
      </c>
      <c r="H230">
        <f ca="1"/>
        <v>0</v>
      </c>
      <c r="I230">
        <f ca="1"/>
        <v>0</v>
      </c>
      <c r="J230">
        <f ca="1"/>
        <v>115</v>
      </c>
      <c r="K230">
        <f ca="1"/>
        <v>0</v>
      </c>
      <c r="L230">
        <f ca="1"/>
        <v>691255.77797223651</v>
      </c>
      <c r="M230">
        <f ca="1"/>
        <v>7569128.3797410885</v>
      </c>
      <c r="N230" t="str">
        <f ca="1"/>
        <v>R-8</v>
      </c>
      <c r="O230" t="str">
        <f ca="1"/>
        <v>R-8</v>
      </c>
      <c r="P230">
        <f ca="1"/>
        <v>1</v>
      </c>
      <c r="Q230">
        <f ca="1"/>
        <v>2.6285347442275624</v>
      </c>
      <c r="R230" s="2">
        <f ca="1"/>
        <v>14.307999999999998</v>
      </c>
      <c r="S230">
        <f ca="1"/>
        <v>0.64000000000000012</v>
      </c>
      <c r="T230">
        <f ca="1"/>
        <v>691252.82407464599</v>
      </c>
      <c r="U230">
        <f ca="1"/>
        <v>7569121.8326955698</v>
      </c>
    </row>
    <row r="231" spans="1:21" x14ac:dyDescent="0.25">
      <c r="A231">
        <f ca="1"/>
        <v>230</v>
      </c>
      <c r="B231" t="str">
        <f ca="1"/>
        <v>SX</v>
      </c>
      <c r="C231" t="str">
        <f ca="1"/>
        <v>Z</v>
      </c>
      <c r="D231" t="str">
        <f ca="1"/>
        <v>R-8_D</v>
      </c>
      <c r="E231">
        <f ca="1"/>
        <v>0</v>
      </c>
      <c r="F231">
        <f ca="1"/>
        <v>0</v>
      </c>
      <c r="G231">
        <f ca="1"/>
        <v>0</v>
      </c>
      <c r="H231">
        <f ca="1"/>
        <v>0</v>
      </c>
      <c r="I231">
        <f ca="1"/>
        <v>0</v>
      </c>
      <c r="J231">
        <f ca="1"/>
        <v>115</v>
      </c>
      <c r="K231">
        <f ca="1"/>
        <v>1</v>
      </c>
      <c r="L231">
        <f ca="1"/>
        <v>691248.75498009194</v>
      </c>
      <c r="M231">
        <f ca="1"/>
        <v>7569115.9139300305</v>
      </c>
      <c r="N231" t="str">
        <f ca="1"/>
        <v>R-8</v>
      </c>
      <c r="O231" t="str">
        <f ca="1"/>
        <v>R-8</v>
      </c>
      <c r="P231">
        <f ca="1"/>
        <v>1</v>
      </c>
      <c r="Q231">
        <f ca="1"/>
        <v>2.6285347442275624</v>
      </c>
      <c r="R231" s="2">
        <f ca="1"/>
        <v>14.307999999999998</v>
      </c>
      <c r="S231">
        <f ca="1"/>
        <v>0.64000000000000012</v>
      </c>
      <c r="T231">
        <f ca="1"/>
        <v>691252.82407464599</v>
      </c>
      <c r="U231">
        <f ca="1"/>
        <v>7569121.8326955698</v>
      </c>
    </row>
    <row r="232" spans="1:21" x14ac:dyDescent="0.25">
      <c r="A232">
        <f ca="1"/>
        <v>231</v>
      </c>
      <c r="B232" t="str">
        <f ca="1"/>
        <v>CN</v>
      </c>
      <c r="C232" t="str">
        <f ca="1"/>
        <v>Z</v>
      </c>
      <c r="D232" t="str">
        <f ca="1"/>
        <v>R-8_D</v>
      </c>
      <c r="E232">
        <f ca="1"/>
        <v>0</v>
      </c>
      <c r="F232">
        <f ca="1"/>
        <v>0</v>
      </c>
      <c r="G232">
        <f ca="1"/>
        <v>0</v>
      </c>
      <c r="H232">
        <f ca="1"/>
        <v>0</v>
      </c>
      <c r="I232">
        <f ca="1"/>
        <v>0</v>
      </c>
      <c r="J232">
        <f ca="1"/>
        <v>116</v>
      </c>
      <c r="K232">
        <f ca="1"/>
        <v>0</v>
      </c>
      <c r="L232">
        <f ca="1"/>
        <v>691252.82407464599</v>
      </c>
      <c r="M232">
        <f ca="1"/>
        <v>7569121.8326955698</v>
      </c>
      <c r="N232" t="str">
        <f ca="1"/>
        <v>R-8</v>
      </c>
      <c r="O232" t="str">
        <f ca="1"/>
        <v>R-8</v>
      </c>
      <c r="P232">
        <f ca="1"/>
        <v>1</v>
      </c>
      <c r="Q232">
        <f ca="1"/>
        <v>2.6285347442275624</v>
      </c>
      <c r="R232" s="2">
        <f ca="1"/>
        <v>14.307999999999998</v>
      </c>
      <c r="S232">
        <f ca="1"/>
        <v>0.64000000000000012</v>
      </c>
      <c r="T232">
        <f ca="1"/>
        <v>691252.82407464599</v>
      </c>
      <c r="U232">
        <f ca="1"/>
        <v>7569121.8326955698</v>
      </c>
    </row>
    <row r="233" spans="1:21" x14ac:dyDescent="0.25">
      <c r="A233">
        <f ca="1"/>
        <v>232</v>
      </c>
      <c r="B233" t="str">
        <f ca="1"/>
        <v>CN</v>
      </c>
      <c r="C233" t="str">
        <f ca="1"/>
        <v>Z</v>
      </c>
      <c r="D233" t="str">
        <f ca="1"/>
        <v>R-8_D</v>
      </c>
      <c r="E233">
        <f ca="1"/>
        <v>0</v>
      </c>
      <c r="F233">
        <f ca="1"/>
        <v>0</v>
      </c>
      <c r="G233">
        <f ca="1"/>
        <v>0</v>
      </c>
      <c r="H233">
        <f ca="1"/>
        <v>0</v>
      </c>
      <c r="I233">
        <f ca="1"/>
        <v>0</v>
      </c>
      <c r="J233">
        <f ca="1"/>
        <v>116</v>
      </c>
      <c r="K233">
        <f ca="1"/>
        <v>1</v>
      </c>
      <c r="L233">
        <f ca="1"/>
        <v>691248.75498009194</v>
      </c>
      <c r="M233">
        <f ca="1"/>
        <v>7569115.9139300305</v>
      </c>
      <c r="N233" t="str">
        <f ca="1"/>
        <v>R-8</v>
      </c>
      <c r="O233" t="str">
        <f ca="1"/>
        <v>R-8</v>
      </c>
      <c r="P233">
        <f ca="1"/>
        <v>1</v>
      </c>
      <c r="Q233">
        <f ca="1"/>
        <v>2.6285347442275624</v>
      </c>
      <c r="R233" s="2">
        <f ca="1"/>
        <v>14.307999999999998</v>
      </c>
      <c r="S233">
        <f ca="1"/>
        <v>0.64000000000000012</v>
      </c>
      <c r="T233">
        <f ca="1"/>
        <v>691252.82407464599</v>
      </c>
      <c r="U233">
        <f ca="1"/>
        <v>7569121.8326955698</v>
      </c>
    </row>
    <row r="234" spans="1:21" x14ac:dyDescent="0.25">
      <c r="A234">
        <f ca="1"/>
        <v>233</v>
      </c>
      <c r="B234" t="str">
        <f ca="1"/>
        <v>SX</v>
      </c>
      <c r="C234" t="str">
        <f ca="1"/>
        <v>Z</v>
      </c>
      <c r="D234" t="str">
        <f ca="1"/>
        <v>R-9_U</v>
      </c>
      <c r="E234">
        <f ca="1"/>
        <v>0</v>
      </c>
      <c r="F234">
        <f ca="1"/>
        <v>0</v>
      </c>
      <c r="G234">
        <f ca="1"/>
        <v>0</v>
      </c>
      <c r="H234">
        <f ca="1"/>
        <v>0</v>
      </c>
      <c r="I234">
        <f ca="1"/>
        <v>0</v>
      </c>
      <c r="J234">
        <f ca="1"/>
        <v>117</v>
      </c>
      <c r="K234">
        <f ca="1"/>
        <v>0</v>
      </c>
      <c r="L234">
        <f ca="1"/>
        <v>691507.54002652073</v>
      </c>
      <c r="M234">
        <f ca="1"/>
        <v>7569386.6139891092</v>
      </c>
      <c r="N234" t="str">
        <f ca="1"/>
        <v>R-9</v>
      </c>
      <c r="O234" t="str">
        <f ca="1"/>
        <v>R-9</v>
      </c>
      <c r="P234">
        <f ca="1"/>
        <v>0</v>
      </c>
      <c r="Q234">
        <f ca="1"/>
        <v>-0.42459784536441525</v>
      </c>
      <c r="R234" s="2">
        <f ca="1"/>
        <v>3.7239999999999993</v>
      </c>
      <c r="S234">
        <f ca="1"/>
        <v>0.64000000000000012</v>
      </c>
      <c r="T234">
        <f ca="1"/>
        <v>691507.72391469299</v>
      </c>
      <c r="U234">
        <f ca="1"/>
        <v>7569388.5743026398</v>
      </c>
    </row>
    <row r="235" spans="1:21" x14ac:dyDescent="0.25">
      <c r="A235">
        <f ca="1"/>
        <v>234</v>
      </c>
      <c r="B235" t="str">
        <f ca="1"/>
        <v>SX</v>
      </c>
      <c r="C235" t="str">
        <f ca="1"/>
        <v>Z</v>
      </c>
      <c r="D235" t="str">
        <f ca="1"/>
        <v>R-9_U</v>
      </c>
      <c r="E235">
        <f ca="1"/>
        <v>0</v>
      </c>
      <c r="F235">
        <f ca="1"/>
        <v>0</v>
      </c>
      <c r="G235">
        <f ca="1"/>
        <v>0</v>
      </c>
      <c r="H235">
        <f ca="1"/>
        <v>0</v>
      </c>
      <c r="I235">
        <f ca="1"/>
        <v>0</v>
      </c>
      <c r="J235">
        <f ca="1"/>
        <v>117</v>
      </c>
      <c r="K235">
        <f ca="1"/>
        <v>1</v>
      </c>
      <c r="L235">
        <f ca="1"/>
        <v>691509.07414459449</v>
      </c>
      <c r="M235">
        <f ca="1"/>
        <v>7569390.0073145777</v>
      </c>
      <c r="N235" t="str">
        <f ca="1"/>
        <v>R-9</v>
      </c>
      <c r="O235" t="str">
        <f ca="1"/>
        <v>R-9</v>
      </c>
      <c r="P235">
        <f ca="1"/>
        <v>0</v>
      </c>
      <c r="Q235">
        <f ca="1"/>
        <v>-0.42459784536441525</v>
      </c>
      <c r="R235" s="2">
        <f ca="1"/>
        <v>3.7239999999999993</v>
      </c>
      <c r="S235">
        <f ca="1"/>
        <v>0.64000000000000012</v>
      </c>
      <c r="T235">
        <f ca="1"/>
        <v>691507.72391469299</v>
      </c>
      <c r="U235">
        <f ca="1"/>
        <v>7569388.5743026398</v>
      </c>
    </row>
    <row r="236" spans="1:21" x14ac:dyDescent="0.25">
      <c r="A236">
        <f ca="1"/>
        <v>235</v>
      </c>
      <c r="B236" t="str">
        <f ca="1"/>
        <v>CN</v>
      </c>
      <c r="C236" t="str">
        <f ca="1"/>
        <v>Z</v>
      </c>
      <c r="D236" t="str">
        <f ca="1"/>
        <v>R-9_U</v>
      </c>
      <c r="E236">
        <f ca="1"/>
        <v>0</v>
      </c>
      <c r="F236">
        <f ca="1"/>
        <v>0</v>
      </c>
      <c r="G236">
        <f ca="1"/>
        <v>0</v>
      </c>
      <c r="H236">
        <f ca="1"/>
        <v>0</v>
      </c>
      <c r="I236">
        <f ca="1"/>
        <v>0</v>
      </c>
      <c r="J236">
        <f ca="1"/>
        <v>118</v>
      </c>
      <c r="K236">
        <f ca="1"/>
        <v>0</v>
      </c>
      <c r="L236">
        <f ca="1"/>
        <v>691507.72391469299</v>
      </c>
      <c r="M236">
        <f ca="1"/>
        <v>7569388.5743026398</v>
      </c>
      <c r="N236" t="str">
        <f ca="1"/>
        <v>R-9</v>
      </c>
      <c r="O236" t="str">
        <f ca="1"/>
        <v>R-9</v>
      </c>
      <c r="P236">
        <f ca="1"/>
        <v>0</v>
      </c>
      <c r="Q236">
        <f ca="1"/>
        <v>-0.42459784536441525</v>
      </c>
      <c r="R236" s="2">
        <f ca="1"/>
        <v>3.7239999999999993</v>
      </c>
      <c r="S236">
        <f ca="1"/>
        <v>0.64000000000000012</v>
      </c>
      <c r="T236">
        <f ca="1"/>
        <v>691507.72391469299</v>
      </c>
      <c r="U236">
        <f ca="1"/>
        <v>7569388.5743026398</v>
      </c>
    </row>
    <row r="237" spans="1:21" x14ac:dyDescent="0.25">
      <c r="A237">
        <f ca="1"/>
        <v>236</v>
      </c>
      <c r="B237" t="str">
        <f ca="1"/>
        <v>CN</v>
      </c>
      <c r="C237" t="str">
        <f ca="1"/>
        <v>Z</v>
      </c>
      <c r="D237" t="str">
        <f ca="1"/>
        <v>R-9_U</v>
      </c>
      <c r="E237">
        <f ca="1"/>
        <v>0</v>
      </c>
      <c r="F237">
        <f ca="1"/>
        <v>0</v>
      </c>
      <c r="G237">
        <f ca="1"/>
        <v>0</v>
      </c>
      <c r="H237">
        <f ca="1"/>
        <v>0</v>
      </c>
      <c r="I237">
        <f ca="1"/>
        <v>0</v>
      </c>
      <c r="J237">
        <f ca="1"/>
        <v>118</v>
      </c>
      <c r="K237">
        <f ca="1"/>
        <v>1</v>
      </c>
      <c r="L237">
        <f ca="1"/>
        <v>691509.07414459449</v>
      </c>
      <c r="M237">
        <f ca="1"/>
        <v>7569390.0073145777</v>
      </c>
      <c r="N237" t="str">
        <f ca="1"/>
        <v>R-9</v>
      </c>
      <c r="O237" t="str">
        <f ca="1"/>
        <v>R-9</v>
      </c>
      <c r="P237">
        <f ca="1"/>
        <v>0</v>
      </c>
      <c r="Q237">
        <f ca="1"/>
        <v>-0.42459784536441525</v>
      </c>
      <c r="R237" s="2">
        <f ca="1"/>
        <v>3.7239999999999993</v>
      </c>
      <c r="S237">
        <f ca="1"/>
        <v>0.64000000000000012</v>
      </c>
      <c r="T237">
        <f ca="1"/>
        <v>691507.72391469299</v>
      </c>
      <c r="U237">
        <f ca="1"/>
        <v>7569388.5743026398</v>
      </c>
    </row>
    <row r="238" spans="1:21" x14ac:dyDescent="0.25">
      <c r="A238">
        <f ca="1"/>
        <v>237</v>
      </c>
      <c r="B238" t="str">
        <f ca="1"/>
        <v>SX</v>
      </c>
      <c r="C238" t="str">
        <f ca="1"/>
        <v>Z</v>
      </c>
      <c r="D238" t="str">
        <f ca="1"/>
        <v>R-9_D</v>
      </c>
      <c r="E238">
        <f ca="1"/>
        <v>0</v>
      </c>
      <c r="F238">
        <f ca="1"/>
        <v>0</v>
      </c>
      <c r="G238">
        <f ca="1"/>
        <v>0</v>
      </c>
      <c r="H238">
        <f ca="1"/>
        <v>0</v>
      </c>
      <c r="I238">
        <f ca="1"/>
        <v>0</v>
      </c>
      <c r="J238">
        <f ca="1"/>
        <v>119</v>
      </c>
      <c r="K238">
        <f ca="1"/>
        <v>0</v>
      </c>
      <c r="L238">
        <f ca="1"/>
        <v>691479.40565756231</v>
      </c>
      <c r="M238">
        <f ca="1"/>
        <v>7569403.420399351</v>
      </c>
      <c r="N238" t="str">
        <f ca="1"/>
        <v>R-9</v>
      </c>
      <c r="O238" t="str">
        <f ca="1"/>
        <v>R-9</v>
      </c>
      <c r="P238">
        <f ca="1"/>
        <v>1</v>
      </c>
      <c r="Q238">
        <f ca="1"/>
        <v>2.7169948082253779</v>
      </c>
      <c r="R238" s="2">
        <f ca="1"/>
        <v>3.7239999999999993</v>
      </c>
      <c r="S238">
        <f ca="1"/>
        <v>0.64000000000000012</v>
      </c>
      <c r="T238">
        <f ca="1"/>
        <v>691479.22176939005</v>
      </c>
      <c r="U238">
        <f ca="1"/>
        <v>7569401.4600858204</v>
      </c>
    </row>
    <row r="239" spans="1:21" x14ac:dyDescent="0.25">
      <c r="A239">
        <f ca="1"/>
        <v>238</v>
      </c>
      <c r="B239" t="str">
        <f ca="1"/>
        <v>SX</v>
      </c>
      <c r="C239" t="str">
        <f ca="1"/>
        <v>Z</v>
      </c>
      <c r="D239" t="str">
        <f ca="1"/>
        <v>R-9_D</v>
      </c>
      <c r="E239">
        <f ca="1"/>
        <v>0</v>
      </c>
      <c r="F239">
        <f ca="1"/>
        <v>0</v>
      </c>
      <c r="G239">
        <f ca="1"/>
        <v>0</v>
      </c>
      <c r="H239">
        <f ca="1"/>
        <v>0</v>
      </c>
      <c r="I239">
        <f ca="1"/>
        <v>0</v>
      </c>
      <c r="J239">
        <f ca="1"/>
        <v>119</v>
      </c>
      <c r="K239">
        <f ca="1"/>
        <v>1</v>
      </c>
      <c r="L239">
        <f ca="1"/>
        <v>691477.87153948855</v>
      </c>
      <c r="M239">
        <f ca="1"/>
        <v>7569400.0270738825</v>
      </c>
      <c r="N239" t="str">
        <f ca="1"/>
        <v>R-9</v>
      </c>
      <c r="O239" t="str">
        <f ca="1"/>
        <v>R-9</v>
      </c>
      <c r="P239">
        <f ca="1"/>
        <v>1</v>
      </c>
      <c r="Q239">
        <f ca="1"/>
        <v>2.7169948082253779</v>
      </c>
      <c r="R239" s="2">
        <f ca="1"/>
        <v>3.7239999999999993</v>
      </c>
      <c r="S239">
        <f ca="1"/>
        <v>0.64000000000000012</v>
      </c>
      <c r="T239">
        <f ca="1"/>
        <v>691479.22176939005</v>
      </c>
      <c r="U239">
        <f ca="1"/>
        <v>7569401.4600858204</v>
      </c>
    </row>
    <row r="240" spans="1:21" x14ac:dyDescent="0.25">
      <c r="A240">
        <f ca="1"/>
        <v>239</v>
      </c>
      <c r="B240" t="str">
        <f ca="1"/>
        <v>CN</v>
      </c>
      <c r="C240" t="str">
        <f ca="1"/>
        <v>Z</v>
      </c>
      <c r="D240" t="str">
        <f ca="1"/>
        <v>R-9_D</v>
      </c>
      <c r="E240">
        <f ca="1"/>
        <v>0</v>
      </c>
      <c r="F240">
        <f ca="1"/>
        <v>0</v>
      </c>
      <c r="G240">
        <f ca="1"/>
        <v>0</v>
      </c>
      <c r="H240">
        <f ca="1"/>
        <v>0</v>
      </c>
      <c r="I240">
        <f ca="1"/>
        <v>0</v>
      </c>
      <c r="J240">
        <f ca="1"/>
        <v>120</v>
      </c>
      <c r="K240">
        <f ca="1"/>
        <v>0</v>
      </c>
      <c r="L240">
        <f ca="1"/>
        <v>691479.22176939005</v>
      </c>
      <c r="M240">
        <f ca="1"/>
        <v>7569401.4600858204</v>
      </c>
      <c r="N240" t="str">
        <f ca="1"/>
        <v>R-9</v>
      </c>
      <c r="O240" t="str">
        <f ca="1"/>
        <v>R-9</v>
      </c>
      <c r="P240">
        <f ca="1"/>
        <v>1</v>
      </c>
      <c r="Q240">
        <f ca="1"/>
        <v>2.7169948082253779</v>
      </c>
      <c r="R240" s="2">
        <f ca="1"/>
        <v>3.7239999999999993</v>
      </c>
      <c r="S240">
        <f ca="1"/>
        <v>0.64000000000000012</v>
      </c>
      <c r="T240">
        <f ca="1"/>
        <v>691479.22176939005</v>
      </c>
      <c r="U240">
        <f ca="1"/>
        <v>7569401.4600858204</v>
      </c>
    </row>
    <row r="241" spans="1:21" x14ac:dyDescent="0.25">
      <c r="A241">
        <f ca="1"/>
        <v>240</v>
      </c>
      <c r="B241" t="str">
        <f ca="1"/>
        <v>CN</v>
      </c>
      <c r="C241" t="str">
        <f ca="1"/>
        <v>Z</v>
      </c>
      <c r="D241" t="str">
        <f ca="1"/>
        <v>R-9_D</v>
      </c>
      <c r="E241">
        <f ca="1"/>
        <v>0</v>
      </c>
      <c r="F241">
        <f ca="1"/>
        <v>0</v>
      </c>
      <c r="G241">
        <f ca="1"/>
        <v>0</v>
      </c>
      <c r="H241">
        <f ca="1"/>
        <v>0</v>
      </c>
      <c r="I241">
        <f ca="1"/>
        <v>0</v>
      </c>
      <c r="J241">
        <f ca="1"/>
        <v>120</v>
      </c>
      <c r="K241">
        <f ca="1"/>
        <v>1</v>
      </c>
      <c r="L241">
        <f ca="1"/>
        <v>691477.87153948855</v>
      </c>
      <c r="M241">
        <f ca="1"/>
        <v>7569400.0270738825</v>
      </c>
      <c r="N241" t="str">
        <f ca="1"/>
        <v>R-9</v>
      </c>
      <c r="O241" t="str">
        <f ca="1"/>
        <v>R-9</v>
      </c>
      <c r="P241">
        <f ca="1"/>
        <v>1</v>
      </c>
      <c r="Q241">
        <f ca="1"/>
        <v>2.7169948082253779</v>
      </c>
      <c r="R241" s="2">
        <f ca="1"/>
        <v>3.7239999999999993</v>
      </c>
      <c r="S241">
        <f ca="1"/>
        <v>0.64000000000000012</v>
      </c>
      <c r="T241">
        <f ca="1"/>
        <v>691479.22176939005</v>
      </c>
      <c r="U241">
        <f ca="1"/>
        <v>7569401.4600858204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241"/>
  <sheetViews>
    <sheetView workbookViewId="0"/>
  </sheetViews>
  <sheetFormatPr defaultRowHeight="15" x14ac:dyDescent="0.25"/>
  <cols>
    <col min="2" max="2" width="6.140625" bestFit="1" customWidth="1"/>
    <col min="3" max="3" width="6.85546875" bestFit="1" customWidth="1"/>
    <col min="4" max="4" width="12.5703125" style="17" bestFit="1" customWidth="1"/>
    <col min="5" max="5" width="13.28515625" style="17" bestFit="1" customWidth="1"/>
    <col min="6" max="6" width="12.28515625" bestFit="1" customWidth="1"/>
    <col min="7" max="7" width="3.28515625" bestFit="1" customWidth="1"/>
    <col min="8" max="8" width="11.85546875" bestFit="1" customWidth="1"/>
    <col min="9" max="9" width="15" bestFit="1" customWidth="1"/>
    <col min="10" max="10" width="8.7109375" bestFit="1" customWidth="1"/>
    <col min="11" max="11" width="14.140625" bestFit="1" customWidth="1"/>
    <col min="12" max="12" width="12.85546875" bestFit="1" customWidth="1"/>
    <col min="13" max="13" width="6.85546875" bestFit="1" customWidth="1"/>
    <col min="14" max="15" width="12.85546875" bestFit="1" customWidth="1"/>
    <col min="16" max="19" width="12.28515625" bestFit="1" customWidth="1"/>
    <col min="20" max="20" width="9.28515625" bestFit="1" customWidth="1"/>
    <col min="21" max="22" width="12.28515625" style="4" bestFit="1" customWidth="1"/>
    <col min="23" max="23" width="9.28515625" style="4" bestFit="1" customWidth="1"/>
    <col min="24" max="25" width="12.28515625" style="4" bestFit="1" customWidth="1"/>
    <col min="26" max="26" width="9.28515625" style="4" bestFit="1" customWidth="1"/>
    <col min="27" max="27" width="11.28515625" bestFit="1" customWidth="1"/>
    <col min="28" max="28" width="9.7109375" bestFit="1" customWidth="1"/>
    <col min="29" max="29" width="12.42578125" bestFit="1" customWidth="1"/>
    <col min="30" max="32" width="12.85546875" customWidth="1"/>
    <col min="33" max="33" width="22.28515625" bestFit="1" customWidth="1"/>
    <col min="34" max="34" width="10.5703125" bestFit="1" customWidth="1"/>
    <col min="35" max="35" width="14.85546875" bestFit="1" customWidth="1"/>
    <col min="36" max="38" width="12.28515625" bestFit="1" customWidth="1"/>
  </cols>
  <sheetData>
    <row r="1" spans="1:34" x14ac:dyDescent="0.25">
      <c r="A1" t="s">
        <v>164</v>
      </c>
      <c r="B1" t="s">
        <v>46</v>
      </c>
      <c r="C1" t="s">
        <v>96</v>
      </c>
      <c r="D1" s="17" t="s">
        <v>32</v>
      </c>
      <c r="E1" s="17" t="s">
        <v>33</v>
      </c>
      <c r="F1" t="s">
        <v>18</v>
      </c>
      <c r="G1" t="s">
        <v>19</v>
      </c>
      <c r="H1" t="s">
        <v>58</v>
      </c>
      <c r="I1" t="s">
        <v>57</v>
      </c>
      <c r="J1" t="s">
        <v>91</v>
      </c>
      <c r="K1" t="s">
        <v>102</v>
      </c>
      <c r="L1" s="1" t="s">
        <v>90</v>
      </c>
      <c r="M1" t="s">
        <v>95</v>
      </c>
      <c r="N1" t="s">
        <v>35</v>
      </c>
      <c r="O1" t="s">
        <v>34</v>
      </c>
      <c r="P1" t="s">
        <v>89</v>
      </c>
      <c r="Q1" t="s">
        <v>98</v>
      </c>
      <c r="R1" t="s">
        <v>29</v>
      </c>
      <c r="S1" t="s">
        <v>30</v>
      </c>
      <c r="T1" t="s">
        <v>31</v>
      </c>
      <c r="U1" s="4" t="s">
        <v>26</v>
      </c>
      <c r="V1" s="4" t="s">
        <v>27</v>
      </c>
      <c r="W1" s="4" t="s">
        <v>28</v>
      </c>
      <c r="X1" s="4" t="s">
        <v>23</v>
      </c>
      <c r="Y1" s="4" t="s">
        <v>24</v>
      </c>
      <c r="Z1" s="4" t="s">
        <v>25</v>
      </c>
      <c r="AA1" t="s">
        <v>3</v>
      </c>
      <c r="AB1" t="s">
        <v>10</v>
      </c>
      <c r="AC1" t="s">
        <v>15</v>
      </c>
      <c r="AD1" t="s">
        <v>16</v>
      </c>
      <c r="AE1" t="s">
        <v>168</v>
      </c>
      <c r="AG1" t="s">
        <v>188</v>
      </c>
      <c r="AH1" t="s">
        <v>187</v>
      </c>
    </row>
    <row r="2" spans="1:34" x14ac:dyDescent="0.25">
      <c r="A2" cm="1">
        <f t="array" aca="1" ref="A2:A241" ca="1">_xlfn._xlws.FILTER(ROW(B:B),ROW(B:B)&lt;=AH12-1)</f>
        <v>1</v>
      </c>
      <c r="B2" cm="1">
        <f t="array" aca="1" ref="B2:B241" ca="1">MOD((ROW(_xlfn.ANCHORARRAY(A2))-2),4)</f>
        <v>0</v>
      </c>
      <c r="C2" cm="1">
        <f t="array" aca="1" ref="C2:C241" ca="1">INT((ROW(_xlfn.ANCHORARRAY(B2))-2)/4)</f>
        <v>0</v>
      </c>
      <c r="D2" s="17" cm="1">
        <f t="array" aca="1" ref="D2:D241" ca="1">_xlfn.ANCHORARRAY(R2) - COS(_xlfn.ANCHORARRAY(N2))*_xlfn.ANCHORARRAY(AD2)*PaddingFactor +_xlfn.ANCHORARRAY( AC2)/2*SIN(_xlfn.ANCHORARRAY(N2))*(1-2*_xlfn.BYROW(_xlfn.ANCHORARRAY(B2),_xlfn.LAMBDA(_xlpm.q,OR(_xlpm.q=2,_xlpm.q=3))))
+_xlfn.BYROW(_xlfn.ANCHORARRAY(B2),_xlfn.LAMBDA(_xlpm.q,OR(_xlpm.q=1,_xlpm.q=2)))*COS(_xlfn.ANCHORARRAY(N2))*_xlfn.ANCHORARRAY(AD2)</f>
        <v>687313.48591793678</v>
      </c>
      <c r="E2" s="17" cm="1">
        <f t="array" aca="1" ref="E2:E241" ca="1">_xlfn.ANCHORARRAY(S2)-SIN(_xlfn.ANCHORARRAY(N2))*_xlfn.ANCHORARRAY(AD2)*PaddingFactor-_xlfn.ANCHORARRAY(
AC2)/2*COS(_xlfn.ANCHORARRAY(N2))*(1-2*_xlfn.BYROW(_xlfn.ANCHORARRAY(B2),_xlfn.LAMBDA(_xlpm.q,OR(_xlpm.q=2,_xlpm.q=3))))+
_xlfn.BYROW(_xlfn.ANCHORARRAY(B2),_xlfn.LAMBDA(_xlpm.q,OR(_xlpm.q=1,_xlpm.q=2)))*SIN(_xlfn.ANCHORARRAY(N2))*_xlfn.ANCHORARRAY(AD2)</f>
        <v>7565091.1865439741</v>
      </c>
      <c r="F2" cm="1">
        <f t="array" aca="1" ref="F2:F241" ca="1">_xlfn.ANCHORARRAY(T2)+Z_shift</f>
        <v>398.22244873046799</v>
      </c>
      <c r="G2" cm="1">
        <f t="array" aca="1" ref="G2:G241" ca="1">IF(_xlfn.ANCHORARRAY(A2),dZ)</f>
        <v>0</v>
      </c>
      <c r="H2" cm="1">
        <f t="array" aca="1" ref="H2:H241" ca="1">IF(_xlfn.ANCHORARRAY(A2),Shape_width_or_dMax)</f>
        <v>0</v>
      </c>
      <c r="I2" t="str" cm="1">
        <f t="array" aca="1" ref="I2:I241" ca="1">IF(_xlfn.ANCHORARRAY(A2),Shape_Options)</f>
        <v>MIN NO MERGE</v>
      </c>
      <c r="J2" cm="1">
        <f t="array" aca="1" ref="J2:J241" ca="1">INT((ROW(_xlfn.ANCHORARRAY(B2))-2)/8)+1</f>
        <v>1</v>
      </c>
      <c r="K2" t="str" cm="1">
        <f t="array" aca="1" ref="K2:K241" ca="1">INDEX(_xlfn.ANCHORARRAY('PointsTidy - master'!W4),MATCH(_xlfn.ANCHORARRAY(J2),_xlfn.ANCHORARRAY('PointsTidy - master'!A4),0))</f>
        <v>R-1</v>
      </c>
      <c r="L2" t="str" cm="1">
        <f t="array" aca="1" ref="L2:L241" ca="1">VLOOKUP(_xlfn.ANCHORARRAY(J2),'PointsTidy - master'!A:B,2,0)</f>
        <v>R-1</v>
      </c>
      <c r="M2" cm="1">
        <f t="array" aca="1" ref="M2:M241" ca="1">INT(MOD((ROW(_xlfn.ANCHORARRAY(B2))-2),8)/4)</f>
        <v>0</v>
      </c>
      <c r="N2" cm="1">
        <f t="array" aca="1" ref="N2:N241" ca="1">_xlfn.ANCHORARRAY(O2)+_xlfn.ANCHORARRAY(Q2)-PI()/2</f>
        <v>-0.42729998804452407</v>
      </c>
      <c r="O2" cm="1">
        <f t="array" aca="1" ref="O2:O241" ca="1">MOD(_xlfn.ANCHORARRAY(P2)+NOT(_xlfn.ANCHORARRAY(M2))*PI()+PI(),2*PI())-PI()</f>
        <v>-0.42729998804452407</v>
      </c>
      <c r="P2" cm="1">
        <f t="array" aca="1" ref="P2:P241" ca="1">MOD(IFERROR(ATAN((_xlfn.ANCHORARRAY(Y2)-_xlfn.ANCHORARRAY(V2))/(_xlfn.ANCHORARRAY(X2)-_xlfn.ANCHORARRAY(U2)))-(_xlfn.ANCHORARRAY(X2)-_xlfn.ANCHORARRAY(U2)&lt;0)*PI(),PI()/2)+PI(),2*PI())-PI()</f>
        <v>2.714292665545269</v>
      </c>
      <c r="Q2" cm="1">
        <f t="array" aca="1" ref="Q2:Q241" ca="1">IF(_xlfn.ANCHORARRAY(A2),RADIANS(INDEX(_xlfn.ANCHORARRAY('PointsTidy - master'!V4),MATCH(_xlfn.ANCHORARRAY(L2),_xlfn.ANCHORARRAY('PointsTidy - master'!B4),0))))</f>
        <v>1.5707963267948966</v>
      </c>
      <c r="R2" cm="1">
        <f t="array" aca="1" ref="R2:R241" ca="1">NOT(_xlfn.ANCHORARRAY($M2))*_xlfn.ANCHORARRAY(U2)+_xlfn.ANCHORARRAY($M2)*_xlfn.ANCHORARRAY(X2)</f>
        <v>687316.36780907097</v>
      </c>
      <c r="S2" cm="1">
        <f t="array" aca="1" ref="S2:S241" ca="1">NOT(_xlfn.ANCHORARRAY($M2))*_xlfn.ANCHORARRAY(V2)+_xlfn.ANCHORARRAY($M2)*_xlfn.ANCHORARRAY(Y2)</f>
        <v>7565096.3571438901</v>
      </c>
      <c r="T2" cm="1">
        <f t="array" aca="1" ref="T2:T241" ca="1">NOT(_xlfn.ANCHORARRAY($M2))*_xlfn.ANCHORARRAY(W2)+_xlfn.ANCHORARRAY($M2)*_xlfn.ANCHORARRAY(Z2)</f>
        <v>398.32244873046801</v>
      </c>
      <c r="U2" cm="1">
        <f t="array" aca="1" ref="U2:U241" ca="1">SUMIFS(_xlfn.ANCHORARRAY('PointsTidy - master'!L4),_xlfn.ANCHORARRAY('PointsTidy - master'!$B4),_xlfn.ANCHORARRAY(L2),_xlfn.ANCHORARRAY('PointsTidy - master'!$D4),0)</f>
        <v>687316.36780907097</v>
      </c>
      <c r="V2" cm="1">
        <f t="array" aca="1" ref="V2:V241" ca="1">SUMIFS(_xlfn.ANCHORARRAY('PointsTidy - master'!M4),_xlfn.ANCHORARRAY('PointsTidy - master'!$B4),_xlfn.ANCHORARRAY(L2),_xlfn.ANCHORARRAY('PointsTidy - master'!$D4),0)</f>
        <v>7565096.3571438901</v>
      </c>
      <c r="W2" cm="1">
        <f t="array" aca="1" ref="W2:W241" ca="1">IF(_xlfn.ANCHORARRAY($A2),INDEX(_xlfn.ANCHORARRAY('PointsTidy - master'!E4),MATCH(_xlfn.ANCHORARRAY($L2),_xlfn.ANCHORARRAY('PointsTidy - master'!$B4))))</f>
        <v>398.32244873046801</v>
      </c>
      <c r="X2" cm="1">
        <f t="array" aca="1" ref="X2:X241" ca="1">SUMIFS(_xlfn.ANCHORARRAY('PointsTidy - master'!L4),_xlfn.ANCHORARRAY('PointsTidy - master'!$B4),_xlfn.ANCHORARRAY(L2),_xlfn.ANCHORARRAY('PointsTidy - master'!$D4),1)</f>
        <v>687240.47098323505</v>
      </c>
      <c r="Y2" cm="1">
        <f t="array" aca="1" ref="Y2:Y241" ca="1">SUMIFS(_xlfn.ANCHORARRAY('PointsTidy - master'!M4),_xlfn.ANCHORARRAY('PointsTidy - master'!$B4),_xlfn.ANCHORARRAY(L2),_xlfn.ANCHORARRAY('PointsTidy - master'!$D4),1)</f>
        <v>7565130.9173056604</v>
      </c>
      <c r="Z2" cm="1">
        <f t="array" aca="1" ref="Z2:Z241" ca="1">IF(_xlfn.ANCHORARRAY($A2),INDEX(_xlfn.ANCHORARRAY('PointsTidy - master'!F4),MATCH(_xlfn.ANCHORARRAY($L2),_xlfn.ANCHORARRAY('PointsTidy - master'!$B4))))</f>
        <v>395.86798095703102</v>
      </c>
      <c r="AA2" cm="1">
        <f t="array" aca="1" ref="AA2:AA241" ca="1">IF(_xlfn.ANCHORARRAY($A2),INDEX(_xlfn.ANCHORARRAY('PointsTidy - master'!G4),MATCH(_xlfn.ANCHORARRAY($L2),_xlfn.ANCHORARRAY('PointsTidy - master'!$B4))))</f>
        <v>5</v>
      </c>
      <c r="AB2" cm="1">
        <f t="array" aca="1" ref="AB2:AB241" ca="1">IF(_xlfn.ANCHORARRAY($A2),INDEX(_xlfn.ANCHORARRAY('PointsTidy - master'!J4),MATCH(_xlfn.ANCHORARRAY($L2),_xlfn.ANCHORARRAY('PointsTidy - master'!$B4))))</f>
        <v>1.5</v>
      </c>
      <c r="AC2" cm="1">
        <f t="array" aca="1" ref="AC2:AC241" ca="1">IF(_xlfn.ANCHORARRAY(AE2)&gt;max_width,max_width,IF(_xlfn.ANCHORARRAY(AE2)&lt;min_width,min_width,_xlfn.ANCHORARRAY(AE2)))</f>
        <v>11.799999999999999</v>
      </c>
      <c r="AD2" cm="1">
        <f t="array" aca="1" ref="AD2:AD241" ca="1">grid_size*grid_factor*SIGN(_xlfn.ANCHORARRAY(AA2))</f>
        <v>1.6</v>
      </c>
      <c r="AE2" cm="1">
        <f t="array" aca="1" ref="AE2:AE241" ca="1">_xlfn.ANCHORARRAY($AA$2)*(_xlfn.ANCHORARRAY($AB$2)+PipeSpacing)*pipe_factor+PipeEnds</f>
        <v>11.799999999999999</v>
      </c>
      <c r="AG2" t="s">
        <v>9</v>
      </c>
      <c r="AH2">
        <f>'2d_bc'!AB14</f>
        <v>1</v>
      </c>
    </row>
    <row r="3" spans="1:34" x14ac:dyDescent="0.25">
      <c r="A3">
        <f ca="1"/>
        <v>2</v>
      </c>
      <c r="B3">
        <f ca="1"/>
        <v>1</v>
      </c>
      <c r="C3">
        <f ca="1"/>
        <v>0</v>
      </c>
      <c r="D3" s="17">
        <f ca="1"/>
        <v>687314.94205872272</v>
      </c>
      <c r="E3" s="17">
        <f ca="1"/>
        <v>7565090.5234798659</v>
      </c>
      <c r="F3">
        <f ca="1"/>
        <v>398.22244873046799</v>
      </c>
      <c r="G3">
        <f ca="1"/>
        <v>0</v>
      </c>
      <c r="H3">
        <f ca="1"/>
        <v>0</v>
      </c>
      <c r="I3" t="str">
        <f ca="1"/>
        <v>MIN NO MERGE</v>
      </c>
      <c r="J3">
        <f ca="1"/>
        <v>1</v>
      </c>
      <c r="K3" t="str">
        <f ca="1"/>
        <v>R-1</v>
      </c>
      <c r="L3" t="str">
        <f ca="1"/>
        <v>R-1</v>
      </c>
      <c r="M3">
        <f ca="1"/>
        <v>0</v>
      </c>
      <c r="N3">
        <f ca="1"/>
        <v>-0.42729998804452407</v>
      </c>
      <c r="O3">
        <f ca="1"/>
        <v>-0.42729998804452407</v>
      </c>
      <c r="P3">
        <f ca="1"/>
        <v>2.714292665545269</v>
      </c>
      <c r="Q3">
        <f ca="1"/>
        <v>1.5707963267948966</v>
      </c>
      <c r="R3">
        <f ca="1"/>
        <v>687316.36780907097</v>
      </c>
      <c r="S3">
        <f ca="1"/>
        <v>7565096.3571438901</v>
      </c>
      <c r="T3">
        <f ca="1"/>
        <v>398.32244873046801</v>
      </c>
      <c r="U3">
        <f ca="1"/>
        <v>687316.36780907097</v>
      </c>
      <c r="V3">
        <f ca="1"/>
        <v>7565096.3571438901</v>
      </c>
      <c r="W3">
        <f ca="1"/>
        <v>398.32244873046801</v>
      </c>
      <c r="X3">
        <f ca="1"/>
        <v>687240.47098323505</v>
      </c>
      <c r="Y3">
        <f ca="1"/>
        <v>7565130.9173056604</v>
      </c>
      <c r="Z3">
        <f ca="1"/>
        <v>395.86798095703102</v>
      </c>
      <c r="AA3">
        <f ca="1"/>
        <v>5</v>
      </c>
      <c r="AB3">
        <f ca="1"/>
        <v>1.5</v>
      </c>
      <c r="AC3">
        <f ca="1"/>
        <v>11.799999999999999</v>
      </c>
      <c r="AD3">
        <f ca="1"/>
        <v>1.6</v>
      </c>
      <c r="AE3">
        <f ca="1"/>
        <v>11.799999999999999</v>
      </c>
      <c r="AG3" t="s">
        <v>11</v>
      </c>
      <c r="AH3">
        <v>1.6</v>
      </c>
    </row>
    <row r="4" spans="1:34" x14ac:dyDescent="0.25">
      <c r="A4">
        <f ca="1"/>
        <v>3</v>
      </c>
      <c r="B4">
        <f ca="1"/>
        <v>2</v>
      </c>
      <c r="C4">
        <f ca="1"/>
        <v>0</v>
      </c>
      <c r="D4" s="17">
        <f ca="1"/>
        <v>687319.83215651941</v>
      </c>
      <c r="E4" s="17">
        <f ca="1"/>
        <v>7565101.2625181619</v>
      </c>
      <c r="F4">
        <f ca="1"/>
        <v>398.22244873046799</v>
      </c>
      <c r="G4">
        <f ca="1"/>
        <v>0</v>
      </c>
      <c r="H4">
        <f ca="1"/>
        <v>0</v>
      </c>
      <c r="I4" t="str">
        <f ca="1"/>
        <v>MIN NO MERGE</v>
      </c>
      <c r="J4">
        <f ca="1"/>
        <v>1</v>
      </c>
      <c r="K4" t="str">
        <f ca="1"/>
        <v>R-1</v>
      </c>
      <c r="L4" t="str">
        <f ca="1"/>
        <v>R-1</v>
      </c>
      <c r="M4">
        <f ca="1"/>
        <v>0</v>
      </c>
      <c r="N4">
        <f ca="1"/>
        <v>-0.42729998804452407</v>
      </c>
      <c r="O4">
        <f ca="1"/>
        <v>-0.42729998804452407</v>
      </c>
      <c r="P4">
        <f ca="1"/>
        <v>2.714292665545269</v>
      </c>
      <c r="Q4">
        <f ca="1"/>
        <v>1.5707963267948966</v>
      </c>
      <c r="R4">
        <f ca="1"/>
        <v>687316.36780907097</v>
      </c>
      <c r="S4">
        <f ca="1"/>
        <v>7565096.3571438901</v>
      </c>
      <c r="T4">
        <f ca="1"/>
        <v>398.32244873046801</v>
      </c>
      <c r="U4">
        <f ca="1"/>
        <v>687316.36780907097</v>
      </c>
      <c r="V4">
        <f ca="1"/>
        <v>7565096.3571438901</v>
      </c>
      <c r="W4">
        <f ca="1"/>
        <v>398.32244873046801</v>
      </c>
      <c r="X4">
        <f ca="1"/>
        <v>687240.47098323505</v>
      </c>
      <c r="Y4">
        <f ca="1"/>
        <v>7565130.9173056604</v>
      </c>
      <c r="Z4">
        <f ca="1"/>
        <v>395.86798095703102</v>
      </c>
      <c r="AA4">
        <f ca="1"/>
        <v>5</v>
      </c>
      <c r="AB4">
        <f ca="1"/>
        <v>1.5</v>
      </c>
      <c r="AC4">
        <f ca="1"/>
        <v>11.799999999999999</v>
      </c>
      <c r="AD4">
        <f ca="1"/>
        <v>1.6</v>
      </c>
      <c r="AE4">
        <f ca="1"/>
        <v>11.799999999999999</v>
      </c>
      <c r="AG4" t="s">
        <v>12</v>
      </c>
      <c r="AH4">
        <v>1.2</v>
      </c>
    </row>
    <row r="5" spans="1:34" x14ac:dyDescent="0.25">
      <c r="A5">
        <f ca="1"/>
        <v>4</v>
      </c>
      <c r="B5">
        <f ca="1"/>
        <v>3</v>
      </c>
      <c r="C5">
        <f ca="1"/>
        <v>0</v>
      </c>
      <c r="D5" s="17">
        <f ca="1"/>
        <v>687318.37601573346</v>
      </c>
      <c r="E5" s="17">
        <f ca="1"/>
        <v>7565101.9255822701</v>
      </c>
      <c r="F5">
        <f ca="1"/>
        <v>398.22244873046799</v>
      </c>
      <c r="G5">
        <f ca="1"/>
        <v>0</v>
      </c>
      <c r="H5">
        <f ca="1"/>
        <v>0</v>
      </c>
      <c r="I5" t="str">
        <f ca="1"/>
        <v>MIN NO MERGE</v>
      </c>
      <c r="J5">
        <f ca="1"/>
        <v>1</v>
      </c>
      <c r="K5" t="str">
        <f ca="1"/>
        <v>R-1</v>
      </c>
      <c r="L5" t="str">
        <f ca="1"/>
        <v>R-1</v>
      </c>
      <c r="M5">
        <f ca="1"/>
        <v>0</v>
      </c>
      <c r="N5">
        <f ca="1"/>
        <v>-0.42729998804452407</v>
      </c>
      <c r="O5">
        <f ca="1"/>
        <v>-0.42729998804452407</v>
      </c>
      <c r="P5">
        <f ca="1"/>
        <v>2.714292665545269</v>
      </c>
      <c r="Q5">
        <f ca="1"/>
        <v>1.5707963267948966</v>
      </c>
      <c r="R5">
        <f ca="1"/>
        <v>687316.36780907097</v>
      </c>
      <c r="S5">
        <f ca="1"/>
        <v>7565096.3571438901</v>
      </c>
      <c r="T5">
        <f ca="1"/>
        <v>398.32244873046801</v>
      </c>
      <c r="U5">
        <f ca="1"/>
        <v>687316.36780907097</v>
      </c>
      <c r="V5">
        <f ca="1"/>
        <v>7565096.3571438901</v>
      </c>
      <c r="W5">
        <f ca="1"/>
        <v>398.32244873046801</v>
      </c>
      <c r="X5">
        <f ca="1"/>
        <v>687240.47098323505</v>
      </c>
      <c r="Y5">
        <f ca="1"/>
        <v>7565130.9173056604</v>
      </c>
      <c r="Z5">
        <f ca="1"/>
        <v>395.86798095703102</v>
      </c>
      <c r="AA5">
        <f ca="1"/>
        <v>5</v>
      </c>
      <c r="AB5">
        <f ca="1"/>
        <v>1.5</v>
      </c>
      <c r="AC5">
        <f ca="1"/>
        <v>11.799999999999999</v>
      </c>
      <c r="AD5">
        <f ca="1"/>
        <v>1.6</v>
      </c>
      <c r="AE5">
        <f ca="1"/>
        <v>11.799999999999999</v>
      </c>
      <c r="AG5" t="s">
        <v>13</v>
      </c>
      <c r="AH5">
        <v>200</v>
      </c>
    </row>
    <row r="6" spans="1:34" x14ac:dyDescent="0.25">
      <c r="A6">
        <f ca="1"/>
        <v>5</v>
      </c>
      <c r="B6">
        <f ca="1"/>
        <v>0</v>
      </c>
      <c r="C6">
        <f ca="1"/>
        <v>1</v>
      </c>
      <c r="D6" s="17">
        <f ca="1"/>
        <v>687243.35287436924</v>
      </c>
      <c r="E6" s="17">
        <f ca="1"/>
        <v>7565136.0879055765</v>
      </c>
      <c r="F6">
        <f ca="1"/>
        <v>395.767980957031</v>
      </c>
      <c r="G6">
        <f ca="1"/>
        <v>0</v>
      </c>
      <c r="H6">
        <f ca="1"/>
        <v>0</v>
      </c>
      <c r="I6" t="str">
        <f ca="1"/>
        <v>MIN NO MERGE</v>
      </c>
      <c r="J6">
        <f ca="1"/>
        <v>1</v>
      </c>
      <c r="K6" t="str">
        <f ca="1"/>
        <v>R-1</v>
      </c>
      <c r="L6" t="str">
        <f ca="1"/>
        <v>R-1</v>
      </c>
      <c r="M6">
        <f ca="1"/>
        <v>1</v>
      </c>
      <c r="N6">
        <f ca="1"/>
        <v>2.714292665545269</v>
      </c>
      <c r="O6">
        <f ca="1"/>
        <v>2.714292665545269</v>
      </c>
      <c r="P6">
        <f ca="1"/>
        <v>2.714292665545269</v>
      </c>
      <c r="Q6">
        <f ca="1"/>
        <v>1.5707963267948966</v>
      </c>
      <c r="R6">
        <f ca="1"/>
        <v>687240.47098323505</v>
      </c>
      <c r="S6">
        <f ca="1"/>
        <v>7565130.9173056604</v>
      </c>
      <c r="T6">
        <f ca="1"/>
        <v>395.86798095703102</v>
      </c>
      <c r="U6">
        <f ca="1"/>
        <v>687316.36780907097</v>
      </c>
      <c r="V6">
        <f ca="1"/>
        <v>7565096.3571438901</v>
      </c>
      <c r="W6">
        <f ca="1"/>
        <v>398.32244873046801</v>
      </c>
      <c r="X6">
        <f ca="1"/>
        <v>687240.47098323505</v>
      </c>
      <c r="Y6">
        <f ca="1"/>
        <v>7565130.9173056604</v>
      </c>
      <c r="Z6">
        <f ca="1"/>
        <v>395.86798095703102</v>
      </c>
      <c r="AA6">
        <f ca="1"/>
        <v>5</v>
      </c>
      <c r="AB6">
        <f ca="1"/>
        <v>1.5</v>
      </c>
      <c r="AC6">
        <f ca="1"/>
        <v>11.799999999999999</v>
      </c>
      <c r="AD6">
        <f ca="1"/>
        <v>1.6</v>
      </c>
      <c r="AE6">
        <f ca="1"/>
        <v>11.799999999999999</v>
      </c>
      <c r="AG6" t="s">
        <v>14</v>
      </c>
      <c r="AH6">
        <f>grid_size*grid_factor</f>
        <v>1.6</v>
      </c>
    </row>
    <row r="7" spans="1:34" x14ac:dyDescent="0.25">
      <c r="A7">
        <f ca="1"/>
        <v>6</v>
      </c>
      <c r="B7">
        <f ca="1"/>
        <v>1</v>
      </c>
      <c r="C7">
        <f ca="1"/>
        <v>1</v>
      </c>
      <c r="D7" s="17">
        <f ca="1"/>
        <v>687241.8967335833</v>
      </c>
      <c r="E7" s="17">
        <f ca="1"/>
        <v>7565136.7509696847</v>
      </c>
      <c r="F7">
        <f ca="1"/>
        <v>395.767980957031</v>
      </c>
      <c r="G7">
        <f ca="1"/>
        <v>0</v>
      </c>
      <c r="H7">
        <f ca="1"/>
        <v>0</v>
      </c>
      <c r="I7" t="str">
        <f ca="1"/>
        <v>MIN NO MERGE</v>
      </c>
      <c r="J7">
        <f ca="1"/>
        <v>1</v>
      </c>
      <c r="K7" t="str">
        <f ca="1"/>
        <v>R-1</v>
      </c>
      <c r="L7" t="str">
        <f ca="1"/>
        <v>R-1</v>
      </c>
      <c r="M7">
        <f ca="1"/>
        <v>1</v>
      </c>
      <c r="N7">
        <f ca="1"/>
        <v>2.714292665545269</v>
      </c>
      <c r="O7">
        <f ca="1"/>
        <v>2.714292665545269</v>
      </c>
      <c r="P7">
        <f ca="1"/>
        <v>2.714292665545269</v>
      </c>
      <c r="Q7">
        <f ca="1"/>
        <v>1.5707963267948966</v>
      </c>
      <c r="R7">
        <f ca="1"/>
        <v>687240.47098323505</v>
      </c>
      <c r="S7">
        <f ca="1"/>
        <v>7565130.9173056604</v>
      </c>
      <c r="T7">
        <f ca="1"/>
        <v>395.86798095703102</v>
      </c>
      <c r="U7">
        <f ca="1"/>
        <v>687316.36780907097</v>
      </c>
      <c r="V7">
        <f ca="1"/>
        <v>7565096.3571438901</v>
      </c>
      <c r="W7">
        <f ca="1"/>
        <v>398.32244873046801</v>
      </c>
      <c r="X7">
        <f ca="1"/>
        <v>687240.47098323505</v>
      </c>
      <c r="Y7">
        <f ca="1"/>
        <v>7565130.9173056604</v>
      </c>
      <c r="Z7">
        <f ca="1"/>
        <v>395.86798095703102</v>
      </c>
      <c r="AA7">
        <f ca="1"/>
        <v>5</v>
      </c>
      <c r="AB7">
        <f ca="1"/>
        <v>1.5</v>
      </c>
      <c r="AC7">
        <f ca="1"/>
        <v>11.799999999999999</v>
      </c>
      <c r="AD7">
        <f ca="1"/>
        <v>1.6</v>
      </c>
      <c r="AE7">
        <f ca="1"/>
        <v>11.799999999999999</v>
      </c>
      <c r="AG7" t="s">
        <v>22</v>
      </c>
      <c r="AH7">
        <v>-0.1</v>
      </c>
    </row>
    <row r="8" spans="1:34" x14ac:dyDescent="0.25">
      <c r="A8">
        <f ca="1"/>
        <v>7</v>
      </c>
      <c r="B8">
        <f ca="1"/>
        <v>2</v>
      </c>
      <c r="C8">
        <f ca="1"/>
        <v>1</v>
      </c>
      <c r="D8" s="17">
        <f ca="1"/>
        <v>687237.00663578662</v>
      </c>
      <c r="E8" s="17">
        <f ca="1"/>
        <v>7565126.0119313886</v>
      </c>
      <c r="F8">
        <f ca="1"/>
        <v>395.767980957031</v>
      </c>
      <c r="G8">
        <f ca="1"/>
        <v>0</v>
      </c>
      <c r="H8">
        <f ca="1"/>
        <v>0</v>
      </c>
      <c r="I8" t="str">
        <f ca="1"/>
        <v>MIN NO MERGE</v>
      </c>
      <c r="J8">
        <f ca="1"/>
        <v>1</v>
      </c>
      <c r="K8" t="str">
        <f ca="1"/>
        <v>R-1</v>
      </c>
      <c r="L8" t="str">
        <f ca="1"/>
        <v>R-1</v>
      </c>
      <c r="M8">
        <f ca="1"/>
        <v>1</v>
      </c>
      <c r="N8">
        <f ca="1"/>
        <v>2.714292665545269</v>
      </c>
      <c r="O8">
        <f ca="1"/>
        <v>2.714292665545269</v>
      </c>
      <c r="P8">
        <f ca="1"/>
        <v>2.714292665545269</v>
      </c>
      <c r="Q8">
        <f ca="1"/>
        <v>1.5707963267948966</v>
      </c>
      <c r="R8">
        <f ca="1"/>
        <v>687240.47098323505</v>
      </c>
      <c r="S8">
        <f ca="1"/>
        <v>7565130.9173056604</v>
      </c>
      <c r="T8">
        <f ca="1"/>
        <v>395.86798095703102</v>
      </c>
      <c r="U8">
        <f ca="1"/>
        <v>687316.36780907097</v>
      </c>
      <c r="V8">
        <f ca="1"/>
        <v>7565096.3571438901</v>
      </c>
      <c r="W8">
        <f ca="1"/>
        <v>398.32244873046801</v>
      </c>
      <c r="X8">
        <f ca="1"/>
        <v>687240.47098323505</v>
      </c>
      <c r="Y8">
        <f ca="1"/>
        <v>7565130.9173056604</v>
      </c>
      <c r="Z8">
        <f ca="1"/>
        <v>395.86798095703102</v>
      </c>
      <c r="AA8">
        <f ca="1"/>
        <v>5</v>
      </c>
      <c r="AB8">
        <f ca="1"/>
        <v>1.5</v>
      </c>
      <c r="AC8">
        <f ca="1"/>
        <v>11.799999999999999</v>
      </c>
      <c r="AD8">
        <f ca="1"/>
        <v>1.6</v>
      </c>
      <c r="AE8">
        <f ca="1"/>
        <v>11.799999999999999</v>
      </c>
      <c r="AG8" t="s">
        <v>19</v>
      </c>
      <c r="AH8">
        <v>0</v>
      </c>
    </row>
    <row r="9" spans="1:34" x14ac:dyDescent="0.25">
      <c r="A9">
        <f ca="1"/>
        <v>8</v>
      </c>
      <c r="B9">
        <f ca="1"/>
        <v>3</v>
      </c>
      <c r="C9">
        <f ca="1"/>
        <v>1</v>
      </c>
      <c r="D9" s="17">
        <f ca="1"/>
        <v>687238.46277657256</v>
      </c>
      <c r="E9" s="17">
        <f ca="1"/>
        <v>7565125.3488672804</v>
      </c>
      <c r="F9">
        <f ca="1"/>
        <v>395.767980957031</v>
      </c>
      <c r="G9">
        <f ca="1"/>
        <v>0</v>
      </c>
      <c r="H9">
        <f ca="1"/>
        <v>0</v>
      </c>
      <c r="I9" t="str">
        <f ca="1"/>
        <v>MIN NO MERGE</v>
      </c>
      <c r="J9">
        <f ca="1"/>
        <v>1</v>
      </c>
      <c r="K9" t="str">
        <f ca="1"/>
        <v>R-1</v>
      </c>
      <c r="L9" t="str">
        <f ca="1"/>
        <v>R-1</v>
      </c>
      <c r="M9">
        <f ca="1"/>
        <v>1</v>
      </c>
      <c r="N9">
        <f ca="1"/>
        <v>2.714292665545269</v>
      </c>
      <c r="O9">
        <f ca="1"/>
        <v>2.714292665545269</v>
      </c>
      <c r="P9">
        <f ca="1"/>
        <v>2.714292665545269</v>
      </c>
      <c r="Q9">
        <f ca="1"/>
        <v>1.5707963267948966</v>
      </c>
      <c r="R9">
        <f ca="1"/>
        <v>687240.47098323505</v>
      </c>
      <c r="S9">
        <f ca="1"/>
        <v>7565130.9173056604</v>
      </c>
      <c r="T9">
        <f ca="1"/>
        <v>395.86798095703102</v>
      </c>
      <c r="U9">
        <f ca="1"/>
        <v>687316.36780907097</v>
      </c>
      <c r="V9">
        <f ca="1"/>
        <v>7565096.3571438901</v>
      </c>
      <c r="W9">
        <f ca="1"/>
        <v>398.32244873046801</v>
      </c>
      <c r="X9">
        <f ca="1"/>
        <v>687240.47098323505</v>
      </c>
      <c r="Y9">
        <f ca="1"/>
        <v>7565130.9173056604</v>
      </c>
      <c r="Z9">
        <f ca="1"/>
        <v>395.86798095703102</v>
      </c>
      <c r="AA9">
        <f ca="1"/>
        <v>5</v>
      </c>
      <c r="AB9">
        <f ca="1"/>
        <v>1.5</v>
      </c>
      <c r="AC9">
        <f ca="1"/>
        <v>11.799999999999999</v>
      </c>
      <c r="AD9">
        <f ca="1"/>
        <v>1.6</v>
      </c>
      <c r="AE9">
        <f ca="1"/>
        <v>11.799999999999999</v>
      </c>
      <c r="AG9" t="s">
        <v>20</v>
      </c>
      <c r="AH9">
        <v>0</v>
      </c>
    </row>
    <row r="10" spans="1:34" x14ac:dyDescent="0.25">
      <c r="A10">
        <f ca="1"/>
        <v>9</v>
      </c>
      <c r="B10">
        <f ca="1"/>
        <v>0</v>
      </c>
      <c r="C10">
        <f ca="1"/>
        <v>2</v>
      </c>
      <c r="D10" s="17">
        <f ca="1"/>
        <v>691799.75161879091</v>
      </c>
      <c r="E10" s="17">
        <f ca="1"/>
        <v>7569980.480413557</v>
      </c>
      <c r="F10">
        <f ca="1"/>
        <v>349.88645019531197</v>
      </c>
      <c r="G10">
        <f ca="1"/>
        <v>0</v>
      </c>
      <c r="H10">
        <f ca="1"/>
        <v>0</v>
      </c>
      <c r="I10" t="str">
        <f ca="1"/>
        <v>MIN NO MERGE</v>
      </c>
      <c r="J10">
        <f ca="1"/>
        <v>2</v>
      </c>
      <c r="K10" t="str">
        <f ca="1"/>
        <v>R-10</v>
      </c>
      <c r="L10" t="str">
        <f ca="1"/>
        <v>R-10</v>
      </c>
      <c r="M10">
        <f ca="1"/>
        <v>0</v>
      </c>
      <c r="N10">
        <f ca="1"/>
        <v>-0.51764910942118902</v>
      </c>
      <c r="O10">
        <f ca="1"/>
        <v>-0.51764910942118902</v>
      </c>
      <c r="P10">
        <f ca="1"/>
        <v>2.623943544168605</v>
      </c>
      <c r="Q10">
        <f ca="1"/>
        <v>1.5707963267948966</v>
      </c>
      <c r="R10">
        <f ca="1"/>
        <v>691801.30686036195</v>
      </c>
      <c r="S10">
        <f ca="1"/>
        <v>7569982.24155627</v>
      </c>
      <c r="T10">
        <f ca="1"/>
        <v>349.98645019531199</v>
      </c>
      <c r="U10">
        <f ca="1"/>
        <v>691801.30686036195</v>
      </c>
      <c r="V10">
        <f ca="1"/>
        <v>7569982.24155627</v>
      </c>
      <c r="W10">
        <f ca="1"/>
        <v>349.98645019531199</v>
      </c>
      <c r="X10">
        <f ca="1"/>
        <v>691774.55839837098</v>
      </c>
      <c r="Y10">
        <f ca="1"/>
        <v>7569997.4733193498</v>
      </c>
      <c r="Z10">
        <f ca="1"/>
        <v>349.86862182617102</v>
      </c>
      <c r="AA10">
        <f ca="1"/>
        <v>2</v>
      </c>
      <c r="AB10">
        <f ca="1"/>
        <v>1.2</v>
      </c>
      <c r="AC10">
        <f ca="1"/>
        <v>4.5999999999999996</v>
      </c>
      <c r="AD10">
        <f ca="1"/>
        <v>1.6</v>
      </c>
      <c r="AE10">
        <f ca="1"/>
        <v>4.5999999999999996</v>
      </c>
      <c r="AG10" t="s">
        <v>21</v>
      </c>
      <c r="AH10" t="s">
        <v>92</v>
      </c>
    </row>
    <row r="11" spans="1:34" x14ac:dyDescent="0.25">
      <c r="A11">
        <f ca="1"/>
        <v>10</v>
      </c>
      <c r="B11">
        <f ca="1"/>
        <v>1</v>
      </c>
      <c r="C11">
        <f ca="1"/>
        <v>2</v>
      </c>
      <c r="D11" s="17">
        <f ca="1"/>
        <v>691801.14199461706</v>
      </c>
      <c r="E11" s="17">
        <f ca="1"/>
        <v>7569979.6886717668</v>
      </c>
      <c r="F11">
        <f ca="1"/>
        <v>349.88645019531197</v>
      </c>
      <c r="G11">
        <f ca="1"/>
        <v>0</v>
      </c>
      <c r="H11">
        <f ca="1"/>
        <v>0</v>
      </c>
      <c r="I11" t="str">
        <f ca="1"/>
        <v>MIN NO MERGE</v>
      </c>
      <c r="J11">
        <f ca="1"/>
        <v>2</v>
      </c>
      <c r="K11" t="str">
        <f ca="1"/>
        <v>R-10</v>
      </c>
      <c r="L11" t="str">
        <f ca="1"/>
        <v>R-10</v>
      </c>
      <c r="M11">
        <f ca="1"/>
        <v>0</v>
      </c>
      <c r="N11">
        <f ca="1"/>
        <v>-0.51764910942118902</v>
      </c>
      <c r="O11">
        <f ca="1"/>
        <v>-0.51764910942118902</v>
      </c>
      <c r="P11">
        <f ca="1"/>
        <v>2.623943544168605</v>
      </c>
      <c r="Q11">
        <f ca="1"/>
        <v>1.5707963267948966</v>
      </c>
      <c r="R11">
        <f ca="1"/>
        <v>691801.30686036195</v>
      </c>
      <c r="S11">
        <f ca="1"/>
        <v>7569982.24155627</v>
      </c>
      <c r="T11">
        <f ca="1"/>
        <v>349.98645019531199</v>
      </c>
      <c r="U11">
        <f ca="1"/>
        <v>691801.30686036195</v>
      </c>
      <c r="V11">
        <f ca="1"/>
        <v>7569982.24155627</v>
      </c>
      <c r="W11">
        <f ca="1"/>
        <v>349.98645019531199</v>
      </c>
      <c r="X11">
        <f ca="1"/>
        <v>691774.55839837098</v>
      </c>
      <c r="Y11">
        <f ca="1"/>
        <v>7569997.4733193498</v>
      </c>
      <c r="Z11">
        <f ca="1"/>
        <v>349.86862182617102</v>
      </c>
      <c r="AA11">
        <f ca="1"/>
        <v>2</v>
      </c>
      <c r="AB11">
        <f ca="1"/>
        <v>1.2</v>
      </c>
      <c r="AC11">
        <f ca="1"/>
        <v>4.5999999999999996</v>
      </c>
      <c r="AD11">
        <f ca="1"/>
        <v>1.6</v>
      </c>
      <c r="AE11">
        <f ca="1"/>
        <v>4.5999999999999996</v>
      </c>
      <c r="AG11" t="s">
        <v>55</v>
      </c>
      <c r="AH11">
        <v>0.3</v>
      </c>
    </row>
    <row r="12" spans="1:34" x14ac:dyDescent="0.25">
      <c r="A12">
        <f ca="1"/>
        <v>11</v>
      </c>
      <c r="B12">
        <f ca="1"/>
        <v>2</v>
      </c>
      <c r="C12">
        <f ca="1"/>
        <v>2</v>
      </c>
      <c r="D12" s="17">
        <f ca="1"/>
        <v>691803.41825226333</v>
      </c>
      <c r="E12" s="17">
        <f ca="1"/>
        <v>7569983.6860022666</v>
      </c>
      <c r="F12">
        <f ca="1"/>
        <v>349.88645019531197</v>
      </c>
      <c r="G12">
        <f ca="1"/>
        <v>0</v>
      </c>
      <c r="H12">
        <f ca="1"/>
        <v>0</v>
      </c>
      <c r="I12" t="str">
        <f ca="1"/>
        <v>MIN NO MERGE</v>
      </c>
      <c r="J12">
        <f ca="1"/>
        <v>2</v>
      </c>
      <c r="K12" t="str">
        <f ca="1"/>
        <v>R-10</v>
      </c>
      <c r="L12" t="str">
        <f ca="1"/>
        <v>R-10</v>
      </c>
      <c r="M12">
        <f ca="1"/>
        <v>0</v>
      </c>
      <c r="N12">
        <f ca="1"/>
        <v>-0.51764910942118902</v>
      </c>
      <c r="O12">
        <f ca="1"/>
        <v>-0.51764910942118902</v>
      </c>
      <c r="P12">
        <f ca="1"/>
        <v>2.623943544168605</v>
      </c>
      <c r="Q12">
        <f ca="1"/>
        <v>1.5707963267948966</v>
      </c>
      <c r="R12">
        <f ca="1"/>
        <v>691801.30686036195</v>
      </c>
      <c r="S12">
        <f ca="1"/>
        <v>7569982.24155627</v>
      </c>
      <c r="T12">
        <f ca="1"/>
        <v>349.98645019531199</v>
      </c>
      <c r="U12">
        <f ca="1"/>
        <v>691801.30686036195</v>
      </c>
      <c r="V12">
        <f ca="1"/>
        <v>7569982.24155627</v>
      </c>
      <c r="W12">
        <f ca="1"/>
        <v>349.98645019531199</v>
      </c>
      <c r="X12">
        <f ca="1"/>
        <v>691774.55839837098</v>
      </c>
      <c r="Y12">
        <f ca="1"/>
        <v>7569997.4733193498</v>
      </c>
      <c r="Z12">
        <f ca="1"/>
        <v>349.86862182617102</v>
      </c>
      <c r="AA12">
        <f ca="1"/>
        <v>2</v>
      </c>
      <c r="AB12">
        <f ca="1"/>
        <v>1.2</v>
      </c>
      <c r="AC12">
        <f ca="1"/>
        <v>4.5999999999999996</v>
      </c>
      <c r="AD12">
        <f ca="1"/>
        <v>1.6</v>
      </c>
      <c r="AE12">
        <f ca="1"/>
        <v>4.5999999999999996</v>
      </c>
      <c r="AG12" s="5" t="s">
        <v>56</v>
      </c>
      <c r="AH12" s="5">
        <f ca="1">(COUNTA(_xlfn.UNIQUE(_xlfn.ANCHORARRAY('PointsTidy - master'!B4))))*2*4+1</f>
        <v>241</v>
      </c>
    </row>
    <row r="13" spans="1:34" x14ac:dyDescent="0.25">
      <c r="A13">
        <f ca="1"/>
        <v>12</v>
      </c>
      <c r="B13">
        <f ca="1"/>
        <v>3</v>
      </c>
      <c r="C13">
        <f ca="1"/>
        <v>2</v>
      </c>
      <c r="D13" s="17">
        <f ca="1"/>
        <v>691802.02787643718</v>
      </c>
      <c r="E13" s="17">
        <f ca="1"/>
        <v>7569984.4777440568</v>
      </c>
      <c r="F13">
        <f ca="1"/>
        <v>349.88645019531197</v>
      </c>
      <c r="G13">
        <f ca="1"/>
        <v>0</v>
      </c>
      <c r="H13">
        <f ca="1"/>
        <v>0</v>
      </c>
      <c r="I13" t="str">
        <f ca="1"/>
        <v>MIN NO MERGE</v>
      </c>
      <c r="J13">
        <f ca="1"/>
        <v>2</v>
      </c>
      <c r="K13" t="str">
        <f ca="1"/>
        <v>R-10</v>
      </c>
      <c r="L13" t="str">
        <f ca="1"/>
        <v>R-10</v>
      </c>
      <c r="M13">
        <f ca="1"/>
        <v>0</v>
      </c>
      <c r="N13">
        <f ca="1"/>
        <v>-0.51764910942118902</v>
      </c>
      <c r="O13">
        <f ca="1"/>
        <v>-0.51764910942118902</v>
      </c>
      <c r="P13">
        <f ca="1"/>
        <v>2.623943544168605</v>
      </c>
      <c r="Q13">
        <f ca="1"/>
        <v>1.5707963267948966</v>
      </c>
      <c r="R13">
        <f ca="1"/>
        <v>691801.30686036195</v>
      </c>
      <c r="S13">
        <f ca="1"/>
        <v>7569982.24155627</v>
      </c>
      <c r="T13">
        <f ca="1"/>
        <v>349.98645019531199</v>
      </c>
      <c r="U13">
        <f ca="1"/>
        <v>691801.30686036195</v>
      </c>
      <c r="V13">
        <f ca="1"/>
        <v>7569982.24155627</v>
      </c>
      <c r="W13">
        <f ca="1"/>
        <v>349.98645019531199</v>
      </c>
      <c r="X13">
        <f ca="1"/>
        <v>691774.55839837098</v>
      </c>
      <c r="Y13">
        <f ca="1"/>
        <v>7569997.4733193498</v>
      </c>
      <c r="Z13">
        <f ca="1"/>
        <v>349.86862182617102</v>
      </c>
      <c r="AA13">
        <f ca="1"/>
        <v>2</v>
      </c>
      <c r="AB13">
        <f ca="1"/>
        <v>1.2</v>
      </c>
      <c r="AC13">
        <f ca="1"/>
        <v>4.5999999999999996</v>
      </c>
      <c r="AD13">
        <f ca="1"/>
        <v>1.6</v>
      </c>
      <c r="AE13">
        <f ca="1"/>
        <v>4.5999999999999996</v>
      </c>
      <c r="AG13" t="s">
        <v>93</v>
      </c>
      <c r="AH13">
        <v>0.3</v>
      </c>
    </row>
    <row r="14" spans="1:34" x14ac:dyDescent="0.25">
      <c r="A14">
        <f ca="1"/>
        <v>13</v>
      </c>
      <c r="B14">
        <f ca="1"/>
        <v>0</v>
      </c>
      <c r="C14">
        <f ca="1"/>
        <v>3</v>
      </c>
      <c r="D14" s="17">
        <f ca="1"/>
        <v>691776.11363994202</v>
      </c>
      <c r="E14" s="17">
        <f ca="1"/>
        <v>7569999.2344620628</v>
      </c>
      <c r="F14">
        <f ca="1"/>
        <v>349.768621826171</v>
      </c>
      <c r="G14">
        <f ca="1"/>
        <v>0</v>
      </c>
      <c r="H14">
        <f ca="1"/>
        <v>0</v>
      </c>
      <c r="I14" t="str">
        <f ca="1"/>
        <v>MIN NO MERGE</v>
      </c>
      <c r="J14">
        <f ca="1"/>
        <v>2</v>
      </c>
      <c r="K14" t="str">
        <f ca="1"/>
        <v>R-10</v>
      </c>
      <c r="L14" t="str">
        <f ca="1"/>
        <v>R-10</v>
      </c>
      <c r="M14">
        <f ca="1"/>
        <v>1</v>
      </c>
      <c r="N14">
        <f ca="1"/>
        <v>2.623943544168605</v>
      </c>
      <c r="O14">
        <f ca="1"/>
        <v>2.623943544168605</v>
      </c>
      <c r="P14">
        <f ca="1"/>
        <v>2.623943544168605</v>
      </c>
      <c r="Q14">
        <f ca="1"/>
        <v>1.5707963267948966</v>
      </c>
      <c r="R14">
        <f ca="1"/>
        <v>691774.55839837098</v>
      </c>
      <c r="S14">
        <f ca="1"/>
        <v>7569997.4733193498</v>
      </c>
      <c r="T14">
        <f ca="1"/>
        <v>349.86862182617102</v>
      </c>
      <c r="U14">
        <f ca="1"/>
        <v>691801.30686036195</v>
      </c>
      <c r="V14">
        <f ca="1"/>
        <v>7569982.24155627</v>
      </c>
      <c r="W14">
        <f ca="1"/>
        <v>349.98645019531199</v>
      </c>
      <c r="X14">
        <f ca="1"/>
        <v>691774.55839837098</v>
      </c>
      <c r="Y14">
        <f ca="1"/>
        <v>7569997.4733193498</v>
      </c>
      <c r="Z14">
        <f ca="1"/>
        <v>349.86862182617102</v>
      </c>
      <c r="AA14">
        <f ca="1"/>
        <v>2</v>
      </c>
      <c r="AB14">
        <f ca="1"/>
        <v>1.2</v>
      </c>
      <c r="AC14">
        <f ca="1"/>
        <v>4.5999999999999996</v>
      </c>
      <c r="AD14">
        <f ca="1"/>
        <v>1.6</v>
      </c>
      <c r="AE14">
        <f ca="1"/>
        <v>4.5999999999999996</v>
      </c>
      <c r="AG14" t="s">
        <v>94</v>
      </c>
      <c r="AH14">
        <v>1</v>
      </c>
    </row>
    <row r="15" spans="1:34" x14ac:dyDescent="0.25">
      <c r="A15">
        <f ca="1"/>
        <v>14</v>
      </c>
      <c r="B15">
        <f ca="1"/>
        <v>1</v>
      </c>
      <c r="C15">
        <f ca="1"/>
        <v>3</v>
      </c>
      <c r="D15" s="17">
        <f ca="1"/>
        <v>691774.72326411586</v>
      </c>
      <c r="E15" s="17">
        <f ca="1"/>
        <v>7570000.0262038531</v>
      </c>
      <c r="F15">
        <f ca="1"/>
        <v>349.768621826171</v>
      </c>
      <c r="G15">
        <f ca="1"/>
        <v>0</v>
      </c>
      <c r="H15">
        <f ca="1"/>
        <v>0</v>
      </c>
      <c r="I15" t="str">
        <f ca="1"/>
        <v>MIN NO MERGE</v>
      </c>
      <c r="J15">
        <f ca="1"/>
        <v>2</v>
      </c>
      <c r="K15" t="str">
        <f ca="1"/>
        <v>R-10</v>
      </c>
      <c r="L15" t="str">
        <f ca="1"/>
        <v>R-10</v>
      </c>
      <c r="M15">
        <f ca="1"/>
        <v>1</v>
      </c>
      <c r="N15">
        <f ca="1"/>
        <v>2.623943544168605</v>
      </c>
      <c r="O15">
        <f ca="1"/>
        <v>2.623943544168605</v>
      </c>
      <c r="P15">
        <f ca="1"/>
        <v>2.623943544168605</v>
      </c>
      <c r="Q15">
        <f ca="1"/>
        <v>1.5707963267948966</v>
      </c>
      <c r="R15">
        <f ca="1"/>
        <v>691774.55839837098</v>
      </c>
      <c r="S15">
        <f ca="1"/>
        <v>7569997.4733193498</v>
      </c>
      <c r="T15">
        <f ca="1"/>
        <v>349.86862182617102</v>
      </c>
      <c r="U15">
        <f ca="1"/>
        <v>691801.30686036195</v>
      </c>
      <c r="V15">
        <f ca="1"/>
        <v>7569982.24155627</v>
      </c>
      <c r="W15">
        <f ca="1"/>
        <v>349.98645019531199</v>
      </c>
      <c r="X15">
        <f ca="1"/>
        <v>691774.55839837098</v>
      </c>
      <c r="Y15">
        <f ca="1"/>
        <v>7569997.4733193498</v>
      </c>
      <c r="Z15">
        <f ca="1"/>
        <v>349.86862182617102</v>
      </c>
      <c r="AA15">
        <f ca="1"/>
        <v>2</v>
      </c>
      <c r="AB15">
        <f ca="1"/>
        <v>1.2</v>
      </c>
      <c r="AC15">
        <f ca="1"/>
        <v>4.5999999999999996</v>
      </c>
      <c r="AD15">
        <f ca="1"/>
        <v>1.6</v>
      </c>
      <c r="AE15">
        <f ca="1"/>
        <v>4.5999999999999996</v>
      </c>
    </row>
    <row r="16" spans="1:34" x14ac:dyDescent="0.25">
      <c r="A16">
        <f ca="1"/>
        <v>15</v>
      </c>
      <c r="B16">
        <f ca="1"/>
        <v>2</v>
      </c>
      <c r="C16">
        <f ca="1"/>
        <v>3</v>
      </c>
      <c r="D16" s="17">
        <f ca="1"/>
        <v>691772.44700646959</v>
      </c>
      <c r="E16" s="17">
        <f ca="1"/>
        <v>7569996.0288733533</v>
      </c>
      <c r="F16">
        <f ca="1"/>
        <v>349.768621826171</v>
      </c>
      <c r="G16">
        <f ca="1"/>
        <v>0</v>
      </c>
      <c r="H16">
        <f ca="1"/>
        <v>0</v>
      </c>
      <c r="I16" t="str">
        <f ca="1"/>
        <v>MIN NO MERGE</v>
      </c>
      <c r="J16">
        <f ca="1"/>
        <v>2</v>
      </c>
      <c r="K16" t="str">
        <f ca="1"/>
        <v>R-10</v>
      </c>
      <c r="L16" t="str">
        <f ca="1"/>
        <v>R-10</v>
      </c>
      <c r="M16">
        <f ca="1"/>
        <v>1</v>
      </c>
      <c r="N16">
        <f ca="1"/>
        <v>2.623943544168605</v>
      </c>
      <c r="O16">
        <f ca="1"/>
        <v>2.623943544168605</v>
      </c>
      <c r="P16">
        <f ca="1"/>
        <v>2.623943544168605</v>
      </c>
      <c r="Q16">
        <f ca="1"/>
        <v>1.5707963267948966</v>
      </c>
      <c r="R16">
        <f ca="1"/>
        <v>691774.55839837098</v>
      </c>
      <c r="S16">
        <f ca="1"/>
        <v>7569997.4733193498</v>
      </c>
      <c r="T16">
        <f ca="1"/>
        <v>349.86862182617102</v>
      </c>
      <c r="U16">
        <f ca="1"/>
        <v>691801.30686036195</v>
      </c>
      <c r="V16">
        <f ca="1"/>
        <v>7569982.24155627</v>
      </c>
      <c r="W16">
        <f ca="1"/>
        <v>349.98645019531199</v>
      </c>
      <c r="X16">
        <f ca="1"/>
        <v>691774.55839837098</v>
      </c>
      <c r="Y16">
        <f ca="1"/>
        <v>7569997.4733193498</v>
      </c>
      <c r="Z16">
        <f ca="1"/>
        <v>349.86862182617102</v>
      </c>
      <c r="AA16">
        <f ca="1"/>
        <v>2</v>
      </c>
      <c r="AB16">
        <f ca="1"/>
        <v>1.2</v>
      </c>
      <c r="AC16">
        <f ca="1"/>
        <v>4.5999999999999996</v>
      </c>
      <c r="AD16">
        <f ca="1"/>
        <v>1.6</v>
      </c>
      <c r="AE16">
        <f ca="1"/>
        <v>4.5999999999999996</v>
      </c>
    </row>
    <row r="17" spans="1:33" x14ac:dyDescent="0.25">
      <c r="A17">
        <f ca="1"/>
        <v>16</v>
      </c>
      <c r="B17">
        <f ca="1"/>
        <v>3</v>
      </c>
      <c r="C17">
        <f ca="1"/>
        <v>3</v>
      </c>
      <c r="D17" s="17">
        <f ca="1"/>
        <v>691773.83738229575</v>
      </c>
      <c r="E17" s="17">
        <f ca="1"/>
        <v>7569995.237131563</v>
      </c>
      <c r="F17">
        <f ca="1"/>
        <v>349.768621826171</v>
      </c>
      <c r="G17">
        <f ca="1"/>
        <v>0</v>
      </c>
      <c r="H17">
        <f ca="1"/>
        <v>0</v>
      </c>
      <c r="I17" t="str">
        <f ca="1"/>
        <v>MIN NO MERGE</v>
      </c>
      <c r="J17">
        <f ca="1"/>
        <v>2</v>
      </c>
      <c r="K17" t="str">
        <f ca="1"/>
        <v>R-10</v>
      </c>
      <c r="L17" t="str">
        <f ca="1"/>
        <v>R-10</v>
      </c>
      <c r="M17">
        <f ca="1"/>
        <v>1</v>
      </c>
      <c r="N17">
        <f ca="1"/>
        <v>2.623943544168605</v>
      </c>
      <c r="O17">
        <f ca="1"/>
        <v>2.623943544168605</v>
      </c>
      <c r="P17">
        <f ca="1"/>
        <v>2.623943544168605</v>
      </c>
      <c r="Q17">
        <f ca="1"/>
        <v>1.5707963267948966</v>
      </c>
      <c r="R17">
        <f ca="1"/>
        <v>691774.55839837098</v>
      </c>
      <c r="S17">
        <f ca="1"/>
        <v>7569997.4733193498</v>
      </c>
      <c r="T17">
        <f ca="1"/>
        <v>349.86862182617102</v>
      </c>
      <c r="U17">
        <f ca="1"/>
        <v>691801.30686036195</v>
      </c>
      <c r="V17">
        <f ca="1"/>
        <v>7569982.24155627</v>
      </c>
      <c r="W17">
        <f ca="1"/>
        <v>349.98645019531199</v>
      </c>
      <c r="X17">
        <f ca="1"/>
        <v>691774.55839837098</v>
      </c>
      <c r="Y17">
        <f ca="1"/>
        <v>7569997.4733193498</v>
      </c>
      <c r="Z17">
        <f ca="1"/>
        <v>349.86862182617102</v>
      </c>
      <c r="AA17">
        <f ca="1"/>
        <v>2</v>
      </c>
      <c r="AB17">
        <f ca="1"/>
        <v>1.2</v>
      </c>
      <c r="AC17">
        <f ca="1"/>
        <v>4.5999999999999996</v>
      </c>
      <c r="AD17">
        <f ca="1"/>
        <v>1.6</v>
      </c>
      <c r="AE17">
        <f ca="1"/>
        <v>4.5999999999999996</v>
      </c>
    </row>
    <row r="18" spans="1:33" x14ac:dyDescent="0.25">
      <c r="A18">
        <f ca="1"/>
        <v>17</v>
      </c>
      <c r="B18">
        <f ca="1"/>
        <v>0</v>
      </c>
      <c r="C18">
        <f ca="1"/>
        <v>4</v>
      </c>
      <c r="D18" s="17">
        <f ca="1"/>
        <v>691742.07259649108</v>
      </c>
      <c r="E18" s="17">
        <f ca="1"/>
        <v>7569819.1434086645</v>
      </c>
      <c r="F18">
        <f ca="1"/>
        <v>351.46097412109299</v>
      </c>
      <c r="G18">
        <f ca="1"/>
        <v>0</v>
      </c>
      <c r="H18">
        <f ca="1"/>
        <v>0</v>
      </c>
      <c r="I18" t="str">
        <f ca="1"/>
        <v>MIN NO MERGE</v>
      </c>
      <c r="J18">
        <f ca="1"/>
        <v>3</v>
      </c>
      <c r="K18" t="str">
        <f ca="1"/>
        <v>R-10b</v>
      </c>
      <c r="L18" t="str">
        <f ca="1"/>
        <v>R-10b</v>
      </c>
      <c r="M18">
        <f ca="1"/>
        <v>0</v>
      </c>
      <c r="N18">
        <f ca="1"/>
        <v>-0.10660537950376359</v>
      </c>
      <c r="O18">
        <f ca="1"/>
        <v>-0.10660537950376359</v>
      </c>
      <c r="P18">
        <f ca="1"/>
        <v>3.0349872740860295</v>
      </c>
      <c r="Q18">
        <f ca="1"/>
        <v>1.5707963267948966</v>
      </c>
      <c r="R18">
        <f ca="1"/>
        <v>691742.79459975695</v>
      </c>
      <c r="S18">
        <f ca="1"/>
        <v>7569821.3792779101</v>
      </c>
      <c r="T18">
        <f ca="1"/>
        <v>351.56097412109301</v>
      </c>
      <c r="U18">
        <f ca="1"/>
        <v>691742.79459975695</v>
      </c>
      <c r="V18">
        <f ca="1"/>
        <v>7569821.3792779101</v>
      </c>
      <c r="W18">
        <f ca="1"/>
        <v>351.56097412109301</v>
      </c>
      <c r="X18">
        <f ca="1"/>
        <v>691717.62504003604</v>
      </c>
      <c r="Y18">
        <f ca="1"/>
        <v>7569824.0726994304</v>
      </c>
      <c r="Z18">
        <f ca="1"/>
        <v>351.14425659179602</v>
      </c>
      <c r="AA18">
        <f ca="1"/>
        <v>2</v>
      </c>
      <c r="AB18">
        <f ca="1"/>
        <v>1.2</v>
      </c>
      <c r="AC18">
        <f ca="1"/>
        <v>4.5999999999999996</v>
      </c>
      <c r="AD18">
        <f ca="1"/>
        <v>1.6</v>
      </c>
      <c r="AE18">
        <f ca="1"/>
        <v>4.5999999999999996</v>
      </c>
      <c r="AG18" s="14" t="str">
        <f ca="1">'PointsTidy - master'!C1</f>
        <v>DUPLICATES</v>
      </c>
    </row>
    <row r="19" spans="1:33" x14ac:dyDescent="0.25">
      <c r="A19">
        <f ca="1"/>
        <v>18</v>
      </c>
      <c r="B19">
        <f ca="1"/>
        <v>1</v>
      </c>
      <c r="C19">
        <f ca="1"/>
        <v>4</v>
      </c>
      <c r="D19" s="17">
        <f ca="1"/>
        <v>691743.66351333272</v>
      </c>
      <c r="E19" s="17">
        <f ca="1"/>
        <v>7569818.9731629509</v>
      </c>
      <c r="F19">
        <f ca="1"/>
        <v>351.46097412109299</v>
      </c>
      <c r="G19">
        <f ca="1"/>
        <v>0</v>
      </c>
      <c r="H19">
        <f ca="1"/>
        <v>0</v>
      </c>
      <c r="I19" t="str">
        <f ca="1"/>
        <v>MIN NO MERGE</v>
      </c>
      <c r="J19">
        <f ca="1"/>
        <v>3</v>
      </c>
      <c r="K19" t="str">
        <f ca="1"/>
        <v>R-10b</v>
      </c>
      <c r="L19" t="str">
        <f ca="1"/>
        <v>R-10b</v>
      </c>
      <c r="M19">
        <f ca="1"/>
        <v>0</v>
      </c>
      <c r="N19">
        <f ca="1"/>
        <v>-0.10660537950376359</v>
      </c>
      <c r="O19">
        <f ca="1"/>
        <v>-0.10660537950376359</v>
      </c>
      <c r="P19">
        <f ca="1"/>
        <v>3.0349872740860295</v>
      </c>
      <c r="Q19">
        <f ca="1"/>
        <v>1.5707963267948966</v>
      </c>
      <c r="R19">
        <f ca="1"/>
        <v>691742.79459975695</v>
      </c>
      <c r="S19">
        <f ca="1"/>
        <v>7569821.3792779101</v>
      </c>
      <c r="T19">
        <f ca="1"/>
        <v>351.56097412109301</v>
      </c>
      <c r="U19">
        <f ca="1"/>
        <v>691742.79459975695</v>
      </c>
      <c r="V19">
        <f ca="1"/>
        <v>7569821.3792779101</v>
      </c>
      <c r="W19">
        <f ca="1"/>
        <v>351.56097412109301</v>
      </c>
      <c r="X19">
        <f ca="1"/>
        <v>691717.62504003604</v>
      </c>
      <c r="Y19">
        <f ca="1"/>
        <v>7569824.0726994304</v>
      </c>
      <c r="Z19">
        <f ca="1"/>
        <v>351.14425659179602</v>
      </c>
      <c r="AA19">
        <f ca="1"/>
        <v>2</v>
      </c>
      <c r="AB19">
        <f ca="1"/>
        <v>1.2</v>
      </c>
      <c r="AC19">
        <f ca="1"/>
        <v>4.5999999999999996</v>
      </c>
      <c r="AD19">
        <f ca="1"/>
        <v>1.6</v>
      </c>
      <c r="AE19">
        <f ca="1"/>
        <v>4.5999999999999996</v>
      </c>
    </row>
    <row r="20" spans="1:33" x14ac:dyDescent="0.25">
      <c r="A20">
        <f ca="1"/>
        <v>19</v>
      </c>
      <c r="B20">
        <f ca="1"/>
        <v>2</v>
      </c>
      <c r="C20">
        <f ca="1"/>
        <v>4</v>
      </c>
      <c r="D20" s="17">
        <f ca="1"/>
        <v>691744.15296975954</v>
      </c>
      <c r="E20" s="17">
        <f ca="1"/>
        <v>7569823.5470488705</v>
      </c>
      <c r="F20">
        <f ca="1"/>
        <v>351.46097412109299</v>
      </c>
      <c r="G20">
        <f ca="1"/>
        <v>0</v>
      </c>
      <c r="H20">
        <f ca="1"/>
        <v>0</v>
      </c>
      <c r="I20" t="str">
        <f ca="1"/>
        <v>MIN NO MERGE</v>
      </c>
      <c r="J20">
        <f ca="1"/>
        <v>3</v>
      </c>
      <c r="K20" t="str">
        <f ca="1"/>
        <v>R-10b</v>
      </c>
      <c r="L20" t="str">
        <f ca="1"/>
        <v>R-10b</v>
      </c>
      <c r="M20">
        <f ca="1"/>
        <v>0</v>
      </c>
      <c r="N20">
        <f ca="1"/>
        <v>-0.10660537950376359</v>
      </c>
      <c r="O20">
        <f ca="1"/>
        <v>-0.10660537950376359</v>
      </c>
      <c r="P20">
        <f ca="1"/>
        <v>3.0349872740860295</v>
      </c>
      <c r="Q20">
        <f ca="1"/>
        <v>1.5707963267948966</v>
      </c>
      <c r="R20">
        <f ca="1"/>
        <v>691742.79459975695</v>
      </c>
      <c r="S20">
        <f ca="1"/>
        <v>7569821.3792779101</v>
      </c>
      <c r="T20">
        <f ca="1"/>
        <v>351.56097412109301</v>
      </c>
      <c r="U20">
        <f ca="1"/>
        <v>691742.79459975695</v>
      </c>
      <c r="V20">
        <f ca="1"/>
        <v>7569821.3792779101</v>
      </c>
      <c r="W20">
        <f ca="1"/>
        <v>351.56097412109301</v>
      </c>
      <c r="X20">
        <f ca="1"/>
        <v>691717.62504003604</v>
      </c>
      <c r="Y20">
        <f ca="1"/>
        <v>7569824.0726994304</v>
      </c>
      <c r="Z20">
        <f ca="1"/>
        <v>351.14425659179602</v>
      </c>
      <c r="AA20">
        <f ca="1"/>
        <v>2</v>
      </c>
      <c r="AB20">
        <f ca="1"/>
        <v>1.2</v>
      </c>
      <c r="AC20">
        <f ca="1"/>
        <v>4.5999999999999996</v>
      </c>
      <c r="AD20">
        <f ca="1"/>
        <v>1.6</v>
      </c>
      <c r="AE20">
        <f ca="1"/>
        <v>4.5999999999999996</v>
      </c>
    </row>
    <row r="21" spans="1:33" x14ac:dyDescent="0.25">
      <c r="A21">
        <f ca="1"/>
        <v>20</v>
      </c>
      <c r="B21">
        <f ca="1"/>
        <v>3</v>
      </c>
      <c r="C21">
        <f ca="1"/>
        <v>4</v>
      </c>
      <c r="D21" s="17">
        <f ca="1"/>
        <v>691742.5620529179</v>
      </c>
      <c r="E21" s="17">
        <f ca="1"/>
        <v>7569823.717294584</v>
      </c>
      <c r="F21">
        <f ca="1"/>
        <v>351.46097412109299</v>
      </c>
      <c r="G21">
        <f ca="1"/>
        <v>0</v>
      </c>
      <c r="H21">
        <f ca="1"/>
        <v>0</v>
      </c>
      <c r="I21" t="str">
        <f ca="1"/>
        <v>MIN NO MERGE</v>
      </c>
      <c r="J21">
        <f ca="1"/>
        <v>3</v>
      </c>
      <c r="K21" t="str">
        <f ca="1"/>
        <v>R-10b</v>
      </c>
      <c r="L21" t="str">
        <f ca="1"/>
        <v>R-10b</v>
      </c>
      <c r="M21">
        <f ca="1"/>
        <v>0</v>
      </c>
      <c r="N21">
        <f ca="1"/>
        <v>-0.10660537950376359</v>
      </c>
      <c r="O21">
        <f ca="1"/>
        <v>-0.10660537950376359</v>
      </c>
      <c r="P21">
        <f ca="1"/>
        <v>3.0349872740860295</v>
      </c>
      <c r="Q21">
        <f ca="1"/>
        <v>1.5707963267948966</v>
      </c>
      <c r="R21">
        <f ca="1"/>
        <v>691742.79459975695</v>
      </c>
      <c r="S21">
        <f ca="1"/>
        <v>7569821.3792779101</v>
      </c>
      <c r="T21">
        <f ca="1"/>
        <v>351.56097412109301</v>
      </c>
      <c r="U21">
        <f ca="1"/>
        <v>691742.79459975695</v>
      </c>
      <c r="V21">
        <f ca="1"/>
        <v>7569821.3792779101</v>
      </c>
      <c r="W21">
        <f ca="1"/>
        <v>351.56097412109301</v>
      </c>
      <c r="X21">
        <f ca="1"/>
        <v>691717.62504003604</v>
      </c>
      <c r="Y21">
        <f ca="1"/>
        <v>7569824.0726994304</v>
      </c>
      <c r="Z21">
        <f ca="1"/>
        <v>351.14425659179602</v>
      </c>
      <c r="AA21">
        <f ca="1"/>
        <v>2</v>
      </c>
      <c r="AB21">
        <f ca="1"/>
        <v>1.2</v>
      </c>
      <c r="AC21">
        <f ca="1"/>
        <v>4.5999999999999996</v>
      </c>
      <c r="AD21">
        <f ca="1"/>
        <v>1.6</v>
      </c>
      <c r="AE21">
        <f ca="1"/>
        <v>4.5999999999999996</v>
      </c>
    </row>
    <row r="22" spans="1:33" x14ac:dyDescent="0.25">
      <c r="A22">
        <f ca="1"/>
        <v>21</v>
      </c>
      <c r="B22">
        <f ca="1"/>
        <v>0</v>
      </c>
      <c r="C22">
        <f ca="1"/>
        <v>5</v>
      </c>
      <c r="D22" s="17">
        <f ca="1"/>
        <v>691718.34704330191</v>
      </c>
      <c r="E22" s="17">
        <f ca="1"/>
        <v>7569826.308568676</v>
      </c>
      <c r="F22">
        <f ca="1"/>
        <v>351.044256591796</v>
      </c>
      <c r="G22">
        <f ca="1"/>
        <v>0</v>
      </c>
      <c r="H22">
        <f ca="1"/>
        <v>0</v>
      </c>
      <c r="I22" t="str">
        <f ca="1"/>
        <v>MIN NO MERGE</v>
      </c>
      <c r="J22">
        <f ca="1"/>
        <v>3</v>
      </c>
      <c r="K22" t="str">
        <f ca="1"/>
        <v>R-10b</v>
      </c>
      <c r="L22" t="str">
        <f ca="1"/>
        <v>R-10b</v>
      </c>
      <c r="M22">
        <f ca="1"/>
        <v>1</v>
      </c>
      <c r="N22">
        <f ca="1"/>
        <v>3.0349872740860295</v>
      </c>
      <c r="O22">
        <f ca="1"/>
        <v>3.0349872740860295</v>
      </c>
      <c r="P22">
        <f ca="1"/>
        <v>3.0349872740860295</v>
      </c>
      <c r="Q22">
        <f ca="1"/>
        <v>1.5707963267948966</v>
      </c>
      <c r="R22">
        <f ca="1"/>
        <v>691717.62504003604</v>
      </c>
      <c r="S22">
        <f ca="1"/>
        <v>7569824.0726994304</v>
      </c>
      <c r="T22">
        <f ca="1"/>
        <v>351.14425659179602</v>
      </c>
      <c r="U22">
        <f ca="1"/>
        <v>691742.79459975695</v>
      </c>
      <c r="V22">
        <f ca="1"/>
        <v>7569821.3792779101</v>
      </c>
      <c r="W22">
        <f ca="1"/>
        <v>351.56097412109301</v>
      </c>
      <c r="X22">
        <f ca="1"/>
        <v>691717.62504003604</v>
      </c>
      <c r="Y22">
        <f ca="1"/>
        <v>7569824.0726994304</v>
      </c>
      <c r="Z22">
        <f ca="1"/>
        <v>351.14425659179602</v>
      </c>
      <c r="AA22">
        <f ca="1"/>
        <v>2</v>
      </c>
      <c r="AB22">
        <f ca="1"/>
        <v>1.2</v>
      </c>
      <c r="AC22">
        <f ca="1"/>
        <v>4.5999999999999996</v>
      </c>
      <c r="AD22">
        <f ca="1"/>
        <v>1.6</v>
      </c>
      <c r="AE22">
        <f ca="1"/>
        <v>4.5999999999999996</v>
      </c>
    </row>
    <row r="23" spans="1:33" x14ac:dyDescent="0.25">
      <c r="A23">
        <f ca="1"/>
        <v>22</v>
      </c>
      <c r="B23">
        <f ca="1"/>
        <v>1</v>
      </c>
      <c r="C23">
        <f ca="1"/>
        <v>5</v>
      </c>
      <c r="D23" s="17">
        <f ca="1"/>
        <v>691716.75612646027</v>
      </c>
      <c r="E23" s="17">
        <f ca="1"/>
        <v>7569826.4788143896</v>
      </c>
      <c r="F23">
        <f ca="1"/>
        <v>351.044256591796</v>
      </c>
      <c r="G23">
        <f ca="1"/>
        <v>0</v>
      </c>
      <c r="H23">
        <f ca="1"/>
        <v>0</v>
      </c>
      <c r="I23" t="str">
        <f ca="1"/>
        <v>MIN NO MERGE</v>
      </c>
      <c r="J23">
        <f ca="1"/>
        <v>3</v>
      </c>
      <c r="K23" t="str">
        <f ca="1"/>
        <v>R-10b</v>
      </c>
      <c r="L23" t="str">
        <f ca="1"/>
        <v>R-10b</v>
      </c>
      <c r="M23">
        <f ca="1"/>
        <v>1</v>
      </c>
      <c r="N23">
        <f ca="1"/>
        <v>3.0349872740860295</v>
      </c>
      <c r="O23">
        <f ca="1"/>
        <v>3.0349872740860295</v>
      </c>
      <c r="P23">
        <f ca="1"/>
        <v>3.0349872740860295</v>
      </c>
      <c r="Q23">
        <f ca="1"/>
        <v>1.5707963267948966</v>
      </c>
      <c r="R23">
        <f ca="1"/>
        <v>691717.62504003604</v>
      </c>
      <c r="S23">
        <f ca="1"/>
        <v>7569824.0726994304</v>
      </c>
      <c r="T23">
        <f ca="1"/>
        <v>351.14425659179602</v>
      </c>
      <c r="U23">
        <f ca="1"/>
        <v>691742.79459975695</v>
      </c>
      <c r="V23">
        <f ca="1"/>
        <v>7569821.3792779101</v>
      </c>
      <c r="W23">
        <f ca="1"/>
        <v>351.56097412109301</v>
      </c>
      <c r="X23">
        <f ca="1"/>
        <v>691717.62504003604</v>
      </c>
      <c r="Y23">
        <f ca="1"/>
        <v>7569824.0726994304</v>
      </c>
      <c r="Z23">
        <f ca="1"/>
        <v>351.14425659179602</v>
      </c>
      <c r="AA23">
        <f ca="1"/>
        <v>2</v>
      </c>
      <c r="AB23">
        <f ca="1"/>
        <v>1.2</v>
      </c>
      <c r="AC23">
        <f ca="1"/>
        <v>4.5999999999999996</v>
      </c>
      <c r="AD23">
        <f ca="1"/>
        <v>1.6</v>
      </c>
      <c r="AE23">
        <f ca="1"/>
        <v>4.5999999999999996</v>
      </c>
    </row>
    <row r="24" spans="1:33" x14ac:dyDescent="0.25">
      <c r="A24">
        <f ca="1"/>
        <v>23</v>
      </c>
      <c r="B24">
        <f ca="1"/>
        <v>2</v>
      </c>
      <c r="C24">
        <f ca="1"/>
        <v>5</v>
      </c>
      <c r="D24" s="17">
        <f ca="1"/>
        <v>691716.26667003345</v>
      </c>
      <c r="E24" s="17">
        <f ca="1"/>
        <v>7569821.90492847</v>
      </c>
      <c r="F24">
        <f ca="1"/>
        <v>351.044256591796</v>
      </c>
      <c r="G24">
        <f ca="1"/>
        <v>0</v>
      </c>
      <c r="H24">
        <f ca="1"/>
        <v>0</v>
      </c>
      <c r="I24" t="str">
        <f ca="1"/>
        <v>MIN NO MERGE</v>
      </c>
      <c r="J24">
        <f ca="1"/>
        <v>3</v>
      </c>
      <c r="K24" t="str">
        <f ca="1"/>
        <v>R-10b</v>
      </c>
      <c r="L24" t="str">
        <f ca="1"/>
        <v>R-10b</v>
      </c>
      <c r="M24">
        <f ca="1"/>
        <v>1</v>
      </c>
      <c r="N24">
        <f ca="1"/>
        <v>3.0349872740860295</v>
      </c>
      <c r="O24">
        <f ca="1"/>
        <v>3.0349872740860295</v>
      </c>
      <c r="P24">
        <f ca="1"/>
        <v>3.0349872740860295</v>
      </c>
      <c r="Q24">
        <f ca="1"/>
        <v>1.5707963267948966</v>
      </c>
      <c r="R24">
        <f ca="1"/>
        <v>691717.62504003604</v>
      </c>
      <c r="S24">
        <f ca="1"/>
        <v>7569824.0726994304</v>
      </c>
      <c r="T24">
        <f ca="1"/>
        <v>351.14425659179602</v>
      </c>
      <c r="U24">
        <f ca="1"/>
        <v>691742.79459975695</v>
      </c>
      <c r="V24">
        <f ca="1"/>
        <v>7569821.3792779101</v>
      </c>
      <c r="W24">
        <f ca="1"/>
        <v>351.56097412109301</v>
      </c>
      <c r="X24">
        <f ca="1"/>
        <v>691717.62504003604</v>
      </c>
      <c r="Y24">
        <f ca="1"/>
        <v>7569824.0726994304</v>
      </c>
      <c r="Z24">
        <f ca="1"/>
        <v>351.14425659179602</v>
      </c>
      <c r="AA24">
        <f ca="1"/>
        <v>2</v>
      </c>
      <c r="AB24">
        <f ca="1"/>
        <v>1.2</v>
      </c>
      <c r="AC24">
        <f ca="1"/>
        <v>4.5999999999999996</v>
      </c>
      <c r="AD24">
        <f ca="1"/>
        <v>1.6</v>
      </c>
      <c r="AE24">
        <f ca="1"/>
        <v>4.5999999999999996</v>
      </c>
    </row>
    <row r="25" spans="1:33" x14ac:dyDescent="0.25">
      <c r="A25">
        <f ca="1"/>
        <v>24</v>
      </c>
      <c r="B25">
        <f ca="1"/>
        <v>3</v>
      </c>
      <c r="C25">
        <f ca="1"/>
        <v>5</v>
      </c>
      <c r="D25" s="17">
        <f ca="1"/>
        <v>691717.85758687509</v>
      </c>
      <c r="E25" s="17">
        <f ca="1"/>
        <v>7569821.7346827565</v>
      </c>
      <c r="F25">
        <f ca="1"/>
        <v>351.044256591796</v>
      </c>
      <c r="G25">
        <f ca="1"/>
        <v>0</v>
      </c>
      <c r="H25">
        <f ca="1"/>
        <v>0</v>
      </c>
      <c r="I25" t="str">
        <f ca="1"/>
        <v>MIN NO MERGE</v>
      </c>
      <c r="J25">
        <f ca="1"/>
        <v>3</v>
      </c>
      <c r="K25" t="str">
        <f ca="1"/>
        <v>R-10b</v>
      </c>
      <c r="L25" t="str">
        <f ca="1"/>
        <v>R-10b</v>
      </c>
      <c r="M25">
        <f ca="1"/>
        <v>1</v>
      </c>
      <c r="N25">
        <f ca="1"/>
        <v>3.0349872740860295</v>
      </c>
      <c r="O25">
        <f ca="1"/>
        <v>3.0349872740860295</v>
      </c>
      <c r="P25">
        <f ca="1"/>
        <v>3.0349872740860295</v>
      </c>
      <c r="Q25">
        <f ca="1"/>
        <v>1.5707963267948966</v>
      </c>
      <c r="R25">
        <f ca="1"/>
        <v>691717.62504003604</v>
      </c>
      <c r="S25">
        <f ca="1"/>
        <v>7569824.0726994304</v>
      </c>
      <c r="T25">
        <f ca="1"/>
        <v>351.14425659179602</v>
      </c>
      <c r="U25">
        <f ca="1"/>
        <v>691742.79459975695</v>
      </c>
      <c r="V25">
        <f ca="1"/>
        <v>7569821.3792779101</v>
      </c>
      <c r="W25">
        <f ca="1"/>
        <v>351.56097412109301</v>
      </c>
      <c r="X25">
        <f ca="1"/>
        <v>691717.62504003604</v>
      </c>
      <c r="Y25">
        <f ca="1"/>
        <v>7569824.0726994304</v>
      </c>
      <c r="Z25">
        <f ca="1"/>
        <v>351.14425659179602</v>
      </c>
      <c r="AA25">
        <f ca="1"/>
        <v>2</v>
      </c>
      <c r="AB25">
        <f ca="1"/>
        <v>1.2</v>
      </c>
      <c r="AC25">
        <f ca="1"/>
        <v>4.5999999999999996</v>
      </c>
      <c r="AD25">
        <f ca="1"/>
        <v>1.6</v>
      </c>
      <c r="AE25">
        <f ca="1"/>
        <v>4.5999999999999996</v>
      </c>
    </row>
    <row r="26" spans="1:33" x14ac:dyDescent="0.25">
      <c r="A26">
        <f ca="1"/>
        <v>25</v>
      </c>
      <c r="B26">
        <f ca="1"/>
        <v>0</v>
      </c>
      <c r="C26">
        <f ca="1"/>
        <v>6</v>
      </c>
      <c r="D26" s="17">
        <f ca="1"/>
        <v>691653.3849559977</v>
      </c>
      <c r="E26" s="17">
        <f ca="1"/>
        <v>7569630.3116281154</v>
      </c>
      <c r="F26">
        <f ca="1"/>
        <v>352.99365844726498</v>
      </c>
      <c r="G26">
        <f ca="1"/>
        <v>0</v>
      </c>
      <c r="H26">
        <f ca="1"/>
        <v>0</v>
      </c>
      <c r="I26" t="str">
        <f ca="1"/>
        <v>MIN NO MERGE</v>
      </c>
      <c r="J26">
        <f ca="1"/>
        <v>4</v>
      </c>
      <c r="K26" t="str">
        <f ca="1"/>
        <v>R-10c</v>
      </c>
      <c r="L26" t="str">
        <f ca="1"/>
        <v>R-10c</v>
      </c>
      <c r="M26">
        <f ca="1"/>
        <v>0</v>
      </c>
      <c r="N26">
        <f ca="1"/>
        <v>-0.73960809094658231</v>
      </c>
      <c r="O26">
        <f ca="1"/>
        <v>-0.73960809094658231</v>
      </c>
      <c r="P26">
        <f ca="1"/>
        <v>2.4019845626432108</v>
      </c>
      <c r="Q26">
        <f ca="1"/>
        <v>1.5707963267948966</v>
      </c>
      <c r="R26">
        <f ca="1"/>
        <v>691654.56182582898</v>
      </c>
      <c r="S26">
        <f ca="1"/>
        <v>7569630.8893628297</v>
      </c>
      <c r="T26">
        <f ca="1"/>
        <v>353.093658447265</v>
      </c>
      <c r="U26">
        <f ca="1"/>
        <v>691654.56182582898</v>
      </c>
      <c r="V26">
        <f ca="1"/>
        <v>7569630.8893628297</v>
      </c>
      <c r="W26">
        <f ca="1"/>
        <v>353.093658447265</v>
      </c>
      <c r="X26">
        <f ca="1"/>
        <v>691636.54376462696</v>
      </c>
      <c r="Y26">
        <f ca="1"/>
        <v>7569647.3285217602</v>
      </c>
      <c r="Z26">
        <f ca="1"/>
        <v>352.65432739257801</v>
      </c>
      <c r="AA26">
        <f ca="1"/>
        <v>1</v>
      </c>
      <c r="AB26">
        <f ca="1"/>
        <v>0.9</v>
      </c>
      <c r="AC26">
        <f ca="1"/>
        <v>2.44</v>
      </c>
      <c r="AD26">
        <f ca="1"/>
        <v>1.6</v>
      </c>
      <c r="AE26">
        <f ca="1"/>
        <v>2.44</v>
      </c>
    </row>
    <row r="27" spans="1:33" x14ac:dyDescent="0.25">
      <c r="A27">
        <f ca="1"/>
        <v>26</v>
      </c>
      <c r="B27">
        <f ca="1"/>
        <v>1</v>
      </c>
      <c r="C27">
        <f ca="1"/>
        <v>6</v>
      </c>
      <c r="D27" s="17">
        <f ca="1"/>
        <v>691654.56692841614</v>
      </c>
      <c r="E27" s="17">
        <f ca="1"/>
        <v>7569629.2332305992</v>
      </c>
      <c r="F27">
        <f ca="1"/>
        <v>352.99365844726498</v>
      </c>
      <c r="G27">
        <f ca="1"/>
        <v>0</v>
      </c>
      <c r="H27">
        <f ca="1"/>
        <v>0</v>
      </c>
      <c r="I27" t="str">
        <f ca="1"/>
        <v>MIN NO MERGE</v>
      </c>
      <c r="J27">
        <f ca="1"/>
        <v>4</v>
      </c>
      <c r="K27" t="str">
        <f ca="1"/>
        <v>R-10c</v>
      </c>
      <c r="L27" t="str">
        <f ca="1"/>
        <v>R-10c</v>
      </c>
      <c r="M27">
        <f ca="1"/>
        <v>0</v>
      </c>
      <c r="N27">
        <f ca="1"/>
        <v>-0.73960809094658231</v>
      </c>
      <c r="O27">
        <f ca="1"/>
        <v>-0.73960809094658231</v>
      </c>
      <c r="P27">
        <f ca="1"/>
        <v>2.4019845626432108</v>
      </c>
      <c r="Q27">
        <f ca="1"/>
        <v>1.5707963267948966</v>
      </c>
      <c r="R27">
        <f ca="1"/>
        <v>691654.56182582898</v>
      </c>
      <c r="S27">
        <f ca="1"/>
        <v>7569630.8893628297</v>
      </c>
      <c r="T27">
        <f ca="1"/>
        <v>353.093658447265</v>
      </c>
      <c r="U27">
        <f ca="1"/>
        <v>691654.56182582898</v>
      </c>
      <c r="V27">
        <f ca="1"/>
        <v>7569630.8893628297</v>
      </c>
      <c r="W27">
        <f ca="1"/>
        <v>353.093658447265</v>
      </c>
      <c r="X27">
        <f ca="1"/>
        <v>691636.54376462696</v>
      </c>
      <c r="Y27">
        <f ca="1"/>
        <v>7569647.3285217602</v>
      </c>
      <c r="Z27">
        <f ca="1"/>
        <v>352.65432739257801</v>
      </c>
      <c r="AA27">
        <f ca="1"/>
        <v>1</v>
      </c>
      <c r="AB27">
        <f ca="1"/>
        <v>0.9</v>
      </c>
      <c r="AC27">
        <f ca="1"/>
        <v>2.44</v>
      </c>
      <c r="AD27">
        <f ca="1"/>
        <v>1.6</v>
      </c>
      <c r="AE27">
        <f ca="1"/>
        <v>2.44</v>
      </c>
    </row>
    <row r="28" spans="1:33" x14ac:dyDescent="0.25">
      <c r="A28">
        <f ca="1"/>
        <v>27</v>
      </c>
      <c r="B28">
        <f ca="1"/>
        <v>2</v>
      </c>
      <c r="C28">
        <f ca="1"/>
        <v>6</v>
      </c>
      <c r="D28" s="17">
        <f ca="1"/>
        <v>691656.21148462768</v>
      </c>
      <c r="E28" s="17">
        <f ca="1"/>
        <v>7569631.035738538</v>
      </c>
      <c r="F28">
        <f ca="1"/>
        <v>352.99365844726498</v>
      </c>
      <c r="G28">
        <f ca="1"/>
        <v>0</v>
      </c>
      <c r="H28">
        <f ca="1"/>
        <v>0</v>
      </c>
      <c r="I28" t="str">
        <f ca="1"/>
        <v>MIN NO MERGE</v>
      </c>
      <c r="J28">
        <f ca="1"/>
        <v>4</v>
      </c>
      <c r="K28" t="str">
        <f ca="1"/>
        <v>R-10c</v>
      </c>
      <c r="L28" t="str">
        <f ca="1"/>
        <v>R-10c</v>
      </c>
      <c r="M28">
        <f ca="1"/>
        <v>0</v>
      </c>
      <c r="N28">
        <f ca="1"/>
        <v>-0.73960809094658231</v>
      </c>
      <c r="O28">
        <f ca="1"/>
        <v>-0.73960809094658231</v>
      </c>
      <c r="P28">
        <f ca="1"/>
        <v>2.4019845626432108</v>
      </c>
      <c r="Q28">
        <f ca="1"/>
        <v>1.5707963267948966</v>
      </c>
      <c r="R28">
        <f ca="1"/>
        <v>691654.56182582898</v>
      </c>
      <c r="S28">
        <f ca="1"/>
        <v>7569630.8893628297</v>
      </c>
      <c r="T28">
        <f ca="1"/>
        <v>353.093658447265</v>
      </c>
      <c r="U28">
        <f ca="1"/>
        <v>691654.56182582898</v>
      </c>
      <c r="V28">
        <f ca="1"/>
        <v>7569630.8893628297</v>
      </c>
      <c r="W28">
        <f ca="1"/>
        <v>353.093658447265</v>
      </c>
      <c r="X28">
        <f ca="1"/>
        <v>691636.54376462696</v>
      </c>
      <c r="Y28">
        <f ca="1"/>
        <v>7569647.3285217602</v>
      </c>
      <c r="Z28">
        <f ca="1"/>
        <v>352.65432739257801</v>
      </c>
      <c r="AA28">
        <f ca="1"/>
        <v>1</v>
      </c>
      <c r="AB28">
        <f ca="1"/>
        <v>0.9</v>
      </c>
      <c r="AC28">
        <f ca="1"/>
        <v>2.44</v>
      </c>
      <c r="AD28">
        <f ca="1"/>
        <v>1.6</v>
      </c>
      <c r="AE28">
        <f ca="1"/>
        <v>2.44</v>
      </c>
    </row>
    <row r="29" spans="1:33" x14ac:dyDescent="0.25">
      <c r="A29">
        <f ca="1"/>
        <v>28</v>
      </c>
      <c r="B29">
        <f ca="1"/>
        <v>3</v>
      </c>
      <c r="C29">
        <f ca="1"/>
        <v>6</v>
      </c>
      <c r="D29" s="17">
        <f ca="1"/>
        <v>691655.02951220924</v>
      </c>
      <c r="E29" s="17">
        <f ca="1"/>
        <v>7569632.1141360542</v>
      </c>
      <c r="F29">
        <f ca="1"/>
        <v>352.99365844726498</v>
      </c>
      <c r="G29">
        <f ca="1"/>
        <v>0</v>
      </c>
      <c r="H29">
        <f ca="1"/>
        <v>0</v>
      </c>
      <c r="I29" t="str">
        <f ca="1"/>
        <v>MIN NO MERGE</v>
      </c>
      <c r="J29">
        <f ca="1"/>
        <v>4</v>
      </c>
      <c r="K29" t="str">
        <f ca="1"/>
        <v>R-10c</v>
      </c>
      <c r="L29" t="str">
        <f ca="1"/>
        <v>R-10c</v>
      </c>
      <c r="M29">
        <f ca="1"/>
        <v>0</v>
      </c>
      <c r="N29">
        <f ca="1"/>
        <v>-0.73960809094658231</v>
      </c>
      <c r="O29">
        <f ca="1"/>
        <v>-0.73960809094658231</v>
      </c>
      <c r="P29">
        <f ca="1"/>
        <v>2.4019845626432108</v>
      </c>
      <c r="Q29">
        <f ca="1"/>
        <v>1.5707963267948966</v>
      </c>
      <c r="R29">
        <f ca="1"/>
        <v>691654.56182582898</v>
      </c>
      <c r="S29">
        <f ca="1"/>
        <v>7569630.8893628297</v>
      </c>
      <c r="T29">
        <f ca="1"/>
        <v>353.093658447265</v>
      </c>
      <c r="U29">
        <f ca="1"/>
        <v>691654.56182582898</v>
      </c>
      <c r="V29">
        <f ca="1"/>
        <v>7569630.8893628297</v>
      </c>
      <c r="W29">
        <f ca="1"/>
        <v>353.093658447265</v>
      </c>
      <c r="X29">
        <f ca="1"/>
        <v>691636.54376462696</v>
      </c>
      <c r="Y29">
        <f ca="1"/>
        <v>7569647.3285217602</v>
      </c>
      <c r="Z29">
        <f ca="1"/>
        <v>352.65432739257801</v>
      </c>
      <c r="AA29">
        <f ca="1"/>
        <v>1</v>
      </c>
      <c r="AB29">
        <f ca="1"/>
        <v>0.9</v>
      </c>
      <c r="AC29">
        <f ca="1"/>
        <v>2.44</v>
      </c>
      <c r="AD29">
        <f ca="1"/>
        <v>1.6</v>
      </c>
      <c r="AE29">
        <f ca="1"/>
        <v>2.44</v>
      </c>
    </row>
    <row r="30" spans="1:33" x14ac:dyDescent="0.25">
      <c r="A30">
        <f ca="1"/>
        <v>29</v>
      </c>
      <c r="B30">
        <f ca="1"/>
        <v>0</v>
      </c>
      <c r="C30">
        <f ca="1"/>
        <v>7</v>
      </c>
      <c r="D30" s="17">
        <f ca="1"/>
        <v>691637.72063445824</v>
      </c>
      <c r="E30" s="17">
        <f ca="1"/>
        <v>7569647.9062564746</v>
      </c>
      <c r="F30">
        <f ca="1"/>
        <v>352.55432739257799</v>
      </c>
      <c r="G30">
        <f ca="1"/>
        <v>0</v>
      </c>
      <c r="H30">
        <f ca="1"/>
        <v>0</v>
      </c>
      <c r="I30" t="str">
        <f ca="1"/>
        <v>MIN NO MERGE</v>
      </c>
      <c r="J30">
        <f ca="1"/>
        <v>4</v>
      </c>
      <c r="K30" t="str">
        <f ca="1"/>
        <v>R-10c</v>
      </c>
      <c r="L30" t="str">
        <f ca="1"/>
        <v>R-10c</v>
      </c>
      <c r="M30">
        <f ca="1"/>
        <v>1</v>
      </c>
      <c r="N30">
        <f ca="1"/>
        <v>2.4019845626432108</v>
      </c>
      <c r="O30">
        <f ca="1"/>
        <v>2.4019845626432108</v>
      </c>
      <c r="P30">
        <f ca="1"/>
        <v>2.4019845626432108</v>
      </c>
      <c r="Q30">
        <f ca="1"/>
        <v>1.5707963267948966</v>
      </c>
      <c r="R30">
        <f ca="1"/>
        <v>691636.54376462696</v>
      </c>
      <c r="S30">
        <f ca="1"/>
        <v>7569647.3285217602</v>
      </c>
      <c r="T30">
        <f ca="1"/>
        <v>352.65432739257801</v>
      </c>
      <c r="U30">
        <f ca="1"/>
        <v>691654.56182582898</v>
      </c>
      <c r="V30">
        <f ca="1"/>
        <v>7569630.8893628297</v>
      </c>
      <c r="W30">
        <f ca="1"/>
        <v>353.093658447265</v>
      </c>
      <c r="X30">
        <f ca="1"/>
        <v>691636.54376462696</v>
      </c>
      <c r="Y30">
        <f ca="1"/>
        <v>7569647.3285217602</v>
      </c>
      <c r="Z30">
        <f ca="1"/>
        <v>352.65432739257801</v>
      </c>
      <c r="AA30">
        <f ca="1"/>
        <v>1</v>
      </c>
      <c r="AB30">
        <f ca="1"/>
        <v>0.9</v>
      </c>
      <c r="AC30">
        <f ca="1"/>
        <v>2.44</v>
      </c>
      <c r="AD30">
        <f ca="1"/>
        <v>1.6</v>
      </c>
      <c r="AE30">
        <f ca="1"/>
        <v>2.44</v>
      </c>
    </row>
    <row r="31" spans="1:33" x14ac:dyDescent="0.25">
      <c r="A31">
        <f ca="1"/>
        <v>30</v>
      </c>
      <c r="B31">
        <f ca="1"/>
        <v>1</v>
      </c>
      <c r="C31">
        <f ca="1"/>
        <v>7</v>
      </c>
      <c r="D31" s="17">
        <f ca="1"/>
        <v>691636.53866203979</v>
      </c>
      <c r="E31" s="17">
        <f ca="1"/>
        <v>7569648.9846539907</v>
      </c>
      <c r="F31">
        <f ca="1"/>
        <v>352.55432739257799</v>
      </c>
      <c r="G31">
        <f ca="1"/>
        <v>0</v>
      </c>
      <c r="H31">
        <f ca="1"/>
        <v>0</v>
      </c>
      <c r="I31" t="str">
        <f ca="1"/>
        <v>MIN NO MERGE</v>
      </c>
      <c r="J31">
        <f ca="1"/>
        <v>4</v>
      </c>
      <c r="K31" t="str">
        <f ca="1"/>
        <v>R-10c</v>
      </c>
      <c r="L31" t="str">
        <f ca="1"/>
        <v>R-10c</v>
      </c>
      <c r="M31">
        <f ca="1"/>
        <v>1</v>
      </c>
      <c r="N31">
        <f ca="1"/>
        <v>2.4019845626432108</v>
      </c>
      <c r="O31">
        <f ca="1"/>
        <v>2.4019845626432108</v>
      </c>
      <c r="P31">
        <f ca="1"/>
        <v>2.4019845626432108</v>
      </c>
      <c r="Q31">
        <f ca="1"/>
        <v>1.5707963267948966</v>
      </c>
      <c r="R31">
        <f ca="1"/>
        <v>691636.54376462696</v>
      </c>
      <c r="S31">
        <f ca="1"/>
        <v>7569647.3285217602</v>
      </c>
      <c r="T31">
        <f ca="1"/>
        <v>352.65432739257801</v>
      </c>
      <c r="U31">
        <f ca="1"/>
        <v>691654.56182582898</v>
      </c>
      <c r="V31">
        <f ca="1"/>
        <v>7569630.8893628297</v>
      </c>
      <c r="W31">
        <f ca="1"/>
        <v>353.093658447265</v>
      </c>
      <c r="X31">
        <f ca="1"/>
        <v>691636.54376462696</v>
      </c>
      <c r="Y31">
        <f ca="1"/>
        <v>7569647.3285217602</v>
      </c>
      <c r="Z31">
        <f ca="1"/>
        <v>352.65432739257801</v>
      </c>
      <c r="AA31">
        <f ca="1"/>
        <v>1</v>
      </c>
      <c r="AB31">
        <f ca="1"/>
        <v>0.9</v>
      </c>
      <c r="AC31">
        <f ca="1"/>
        <v>2.44</v>
      </c>
      <c r="AD31">
        <f ca="1"/>
        <v>1.6</v>
      </c>
      <c r="AE31">
        <f ca="1"/>
        <v>2.44</v>
      </c>
    </row>
    <row r="32" spans="1:33" x14ac:dyDescent="0.25">
      <c r="A32">
        <f ca="1"/>
        <v>31</v>
      </c>
      <c r="B32">
        <f ca="1"/>
        <v>2</v>
      </c>
      <c r="C32">
        <f ca="1"/>
        <v>7</v>
      </c>
      <c r="D32" s="17">
        <f ca="1"/>
        <v>691634.89410582825</v>
      </c>
      <c r="E32" s="17">
        <f ca="1"/>
        <v>7569647.1821460519</v>
      </c>
      <c r="F32">
        <f ca="1"/>
        <v>352.55432739257799</v>
      </c>
      <c r="G32">
        <f ca="1"/>
        <v>0</v>
      </c>
      <c r="H32">
        <f ca="1"/>
        <v>0</v>
      </c>
      <c r="I32" t="str">
        <f ca="1"/>
        <v>MIN NO MERGE</v>
      </c>
      <c r="J32">
        <f ca="1"/>
        <v>4</v>
      </c>
      <c r="K32" t="str">
        <f ca="1"/>
        <v>R-10c</v>
      </c>
      <c r="L32" t="str">
        <f ca="1"/>
        <v>R-10c</v>
      </c>
      <c r="M32">
        <f ca="1"/>
        <v>1</v>
      </c>
      <c r="N32">
        <f ca="1"/>
        <v>2.4019845626432108</v>
      </c>
      <c r="O32">
        <f ca="1"/>
        <v>2.4019845626432108</v>
      </c>
      <c r="P32">
        <f ca="1"/>
        <v>2.4019845626432108</v>
      </c>
      <c r="Q32">
        <f ca="1"/>
        <v>1.5707963267948966</v>
      </c>
      <c r="R32">
        <f ca="1"/>
        <v>691636.54376462696</v>
      </c>
      <c r="S32">
        <f ca="1"/>
        <v>7569647.3285217602</v>
      </c>
      <c r="T32">
        <f ca="1"/>
        <v>352.65432739257801</v>
      </c>
      <c r="U32">
        <f ca="1"/>
        <v>691654.56182582898</v>
      </c>
      <c r="V32">
        <f ca="1"/>
        <v>7569630.8893628297</v>
      </c>
      <c r="W32">
        <f ca="1"/>
        <v>353.093658447265</v>
      </c>
      <c r="X32">
        <f ca="1"/>
        <v>691636.54376462696</v>
      </c>
      <c r="Y32">
        <f ca="1"/>
        <v>7569647.3285217602</v>
      </c>
      <c r="Z32">
        <f ca="1"/>
        <v>352.65432739257801</v>
      </c>
      <c r="AA32">
        <f ca="1"/>
        <v>1</v>
      </c>
      <c r="AB32">
        <f ca="1"/>
        <v>0.9</v>
      </c>
      <c r="AC32">
        <f ca="1"/>
        <v>2.44</v>
      </c>
      <c r="AD32">
        <f ca="1"/>
        <v>1.6</v>
      </c>
      <c r="AE32">
        <f ca="1"/>
        <v>2.44</v>
      </c>
    </row>
    <row r="33" spans="1:31" x14ac:dyDescent="0.25">
      <c r="A33">
        <f ca="1"/>
        <v>32</v>
      </c>
      <c r="B33">
        <f ca="1"/>
        <v>3</v>
      </c>
      <c r="C33">
        <f ca="1"/>
        <v>7</v>
      </c>
      <c r="D33" s="17">
        <f ca="1"/>
        <v>691636.0760782467</v>
      </c>
      <c r="E33" s="17">
        <f ca="1"/>
        <v>7569646.1037485357</v>
      </c>
      <c r="F33">
        <f ca="1"/>
        <v>352.55432739257799</v>
      </c>
      <c r="G33">
        <f ca="1"/>
        <v>0</v>
      </c>
      <c r="H33">
        <f ca="1"/>
        <v>0</v>
      </c>
      <c r="I33" t="str">
        <f ca="1"/>
        <v>MIN NO MERGE</v>
      </c>
      <c r="J33">
        <f ca="1"/>
        <v>4</v>
      </c>
      <c r="K33" t="str">
        <f ca="1"/>
        <v>R-10c</v>
      </c>
      <c r="L33" t="str">
        <f ca="1"/>
        <v>R-10c</v>
      </c>
      <c r="M33">
        <f ca="1"/>
        <v>1</v>
      </c>
      <c r="N33">
        <f ca="1"/>
        <v>2.4019845626432108</v>
      </c>
      <c r="O33">
        <f ca="1"/>
        <v>2.4019845626432108</v>
      </c>
      <c r="P33">
        <f ca="1"/>
        <v>2.4019845626432108</v>
      </c>
      <c r="Q33">
        <f ca="1"/>
        <v>1.5707963267948966</v>
      </c>
      <c r="R33">
        <f ca="1"/>
        <v>691636.54376462696</v>
      </c>
      <c r="S33">
        <f ca="1"/>
        <v>7569647.3285217602</v>
      </c>
      <c r="T33">
        <f ca="1"/>
        <v>352.65432739257801</v>
      </c>
      <c r="U33">
        <f ca="1"/>
        <v>691654.56182582898</v>
      </c>
      <c r="V33">
        <f ca="1"/>
        <v>7569630.8893628297</v>
      </c>
      <c r="W33">
        <f ca="1"/>
        <v>353.093658447265</v>
      </c>
      <c r="X33">
        <f ca="1"/>
        <v>691636.54376462696</v>
      </c>
      <c r="Y33">
        <f ca="1"/>
        <v>7569647.3285217602</v>
      </c>
      <c r="Z33">
        <f ca="1"/>
        <v>352.65432739257801</v>
      </c>
      <c r="AA33">
        <f ca="1"/>
        <v>1</v>
      </c>
      <c r="AB33">
        <f ca="1"/>
        <v>0.9</v>
      </c>
      <c r="AC33">
        <f ca="1"/>
        <v>2.44</v>
      </c>
      <c r="AD33">
        <f ca="1"/>
        <v>1.6</v>
      </c>
      <c r="AE33">
        <f ca="1"/>
        <v>2.44</v>
      </c>
    </row>
    <row r="34" spans="1:31" x14ac:dyDescent="0.25">
      <c r="A34">
        <f ca="1"/>
        <v>33</v>
      </c>
      <c r="B34">
        <f ca="1"/>
        <v>0</v>
      </c>
      <c r="C34">
        <f ca="1"/>
        <v>8</v>
      </c>
      <c r="D34" s="17">
        <f ca="1"/>
        <v>691906.88646101533</v>
      </c>
      <c r="E34" s="17">
        <f ca="1"/>
        <v>7570317.8520696945</v>
      </c>
      <c r="F34">
        <f ca="1"/>
        <v>348.20090332031197</v>
      </c>
      <c r="G34">
        <f ca="1"/>
        <v>0</v>
      </c>
      <c r="H34">
        <f ca="1"/>
        <v>0</v>
      </c>
      <c r="I34" t="str">
        <f ca="1"/>
        <v>MIN NO MERGE</v>
      </c>
      <c r="J34">
        <f ca="1"/>
        <v>5</v>
      </c>
      <c r="K34" t="str">
        <f ca="1"/>
        <v>R-11</v>
      </c>
      <c r="L34" t="str">
        <f ca="1"/>
        <v>R-11</v>
      </c>
      <c r="M34">
        <f ca="1"/>
        <v>0</v>
      </c>
      <c r="N34">
        <f ca="1"/>
        <v>-0.57469961908038414</v>
      </c>
      <c r="O34">
        <f ca="1"/>
        <v>-0.57469961908038414</v>
      </c>
      <c r="P34">
        <f ca="1"/>
        <v>2.566893034509409</v>
      </c>
      <c r="Q34">
        <f ca="1"/>
        <v>1.5707963267948966</v>
      </c>
      <c r="R34">
        <f ca="1"/>
        <v>691909.32235097</v>
      </c>
      <c r="S34">
        <f ca="1"/>
        <v>7570320.73034003</v>
      </c>
      <c r="T34">
        <f ca="1"/>
        <v>348.30090332031199</v>
      </c>
      <c r="U34">
        <f ca="1"/>
        <v>691909.32235097</v>
      </c>
      <c r="V34">
        <f ca="1"/>
        <v>7570320.73034003</v>
      </c>
      <c r="W34">
        <f ca="1"/>
        <v>348.30090332031199</v>
      </c>
      <c r="X34">
        <f ca="1"/>
        <v>691880.06622066698</v>
      </c>
      <c r="Y34">
        <f ca="1"/>
        <v>7570339.6771672796</v>
      </c>
      <c r="Z34">
        <f ca="1"/>
        <v>348.02838134765602</v>
      </c>
      <c r="AA34">
        <f ca="1"/>
        <v>3</v>
      </c>
      <c r="AB34">
        <f ca="1"/>
        <v>1.5</v>
      </c>
      <c r="AC34">
        <f ca="1"/>
        <v>7.48</v>
      </c>
      <c r="AD34">
        <f ca="1"/>
        <v>1.6</v>
      </c>
      <c r="AE34">
        <f ca="1"/>
        <v>7.48</v>
      </c>
    </row>
    <row r="35" spans="1:31" x14ac:dyDescent="0.25">
      <c r="A35">
        <f ca="1"/>
        <v>34</v>
      </c>
      <c r="B35">
        <f ca="1"/>
        <v>1</v>
      </c>
      <c r="C35">
        <f ca="1"/>
        <v>8</v>
      </c>
      <c r="D35" s="17">
        <f ca="1"/>
        <v>691908.22943001078</v>
      </c>
      <c r="E35" s="17">
        <f ca="1"/>
        <v>7570316.9823373929</v>
      </c>
      <c r="F35">
        <f ca="1"/>
        <v>348.20090332031197</v>
      </c>
      <c r="G35">
        <f ca="1"/>
        <v>0</v>
      </c>
      <c r="H35">
        <f ca="1"/>
        <v>0</v>
      </c>
      <c r="I35" t="str">
        <f ca="1"/>
        <v>MIN NO MERGE</v>
      </c>
      <c r="J35">
        <f ca="1"/>
        <v>5</v>
      </c>
      <c r="K35" t="str">
        <f ca="1"/>
        <v>R-11</v>
      </c>
      <c r="L35" t="str">
        <f ca="1"/>
        <v>R-11</v>
      </c>
      <c r="M35">
        <f ca="1"/>
        <v>0</v>
      </c>
      <c r="N35">
        <f ca="1"/>
        <v>-0.57469961908038414</v>
      </c>
      <c r="O35">
        <f ca="1"/>
        <v>-0.57469961908038414</v>
      </c>
      <c r="P35">
        <f ca="1"/>
        <v>2.566893034509409</v>
      </c>
      <c r="Q35">
        <f ca="1"/>
        <v>1.5707963267948966</v>
      </c>
      <c r="R35">
        <f ca="1"/>
        <v>691909.32235097</v>
      </c>
      <c r="S35">
        <f ca="1"/>
        <v>7570320.73034003</v>
      </c>
      <c r="T35">
        <f ca="1"/>
        <v>348.30090332031199</v>
      </c>
      <c r="U35">
        <f ca="1"/>
        <v>691909.32235097</v>
      </c>
      <c r="V35">
        <f ca="1"/>
        <v>7570320.73034003</v>
      </c>
      <c r="W35">
        <f ca="1"/>
        <v>348.30090332031199</v>
      </c>
      <c r="X35">
        <f ca="1"/>
        <v>691880.06622066698</v>
      </c>
      <c r="Y35">
        <f ca="1"/>
        <v>7570339.6771672796</v>
      </c>
      <c r="Z35">
        <f ca="1"/>
        <v>348.02838134765602</v>
      </c>
      <c r="AA35">
        <f ca="1"/>
        <v>3</v>
      </c>
      <c r="AB35">
        <f ca="1"/>
        <v>1.5</v>
      </c>
      <c r="AC35">
        <f ca="1"/>
        <v>7.48</v>
      </c>
      <c r="AD35">
        <f ca="1"/>
        <v>1.6</v>
      </c>
      <c r="AE35">
        <f ca="1"/>
        <v>7.48</v>
      </c>
    </row>
    <row r="36" spans="1:31" x14ac:dyDescent="0.25">
      <c r="A36">
        <f ca="1"/>
        <v>35</v>
      </c>
      <c r="B36">
        <f ca="1"/>
        <v>2</v>
      </c>
      <c r="C36">
        <f ca="1"/>
        <v>8</v>
      </c>
      <c r="D36" s="17">
        <f ca="1"/>
        <v>691912.29542852286</v>
      </c>
      <c r="E36" s="17">
        <f ca="1"/>
        <v>7570323.260717446</v>
      </c>
      <c r="F36">
        <f ca="1"/>
        <v>348.20090332031197</v>
      </c>
      <c r="G36">
        <f ca="1"/>
        <v>0</v>
      </c>
      <c r="H36">
        <f ca="1"/>
        <v>0</v>
      </c>
      <c r="I36" t="str">
        <f ca="1"/>
        <v>MIN NO MERGE</v>
      </c>
      <c r="J36">
        <f ca="1"/>
        <v>5</v>
      </c>
      <c r="K36" t="str">
        <f ca="1"/>
        <v>R-11</v>
      </c>
      <c r="L36" t="str">
        <f ca="1"/>
        <v>R-11</v>
      </c>
      <c r="M36">
        <f ca="1"/>
        <v>0</v>
      </c>
      <c r="N36">
        <f ca="1"/>
        <v>-0.57469961908038414</v>
      </c>
      <c r="O36">
        <f ca="1"/>
        <v>-0.57469961908038414</v>
      </c>
      <c r="P36">
        <f ca="1"/>
        <v>2.566893034509409</v>
      </c>
      <c r="Q36">
        <f ca="1"/>
        <v>1.5707963267948966</v>
      </c>
      <c r="R36">
        <f ca="1"/>
        <v>691909.32235097</v>
      </c>
      <c r="S36">
        <f ca="1"/>
        <v>7570320.73034003</v>
      </c>
      <c r="T36">
        <f ca="1"/>
        <v>348.30090332031199</v>
      </c>
      <c r="U36">
        <f ca="1"/>
        <v>691909.32235097</v>
      </c>
      <c r="V36">
        <f ca="1"/>
        <v>7570320.73034003</v>
      </c>
      <c r="W36">
        <f ca="1"/>
        <v>348.30090332031199</v>
      </c>
      <c r="X36">
        <f ca="1"/>
        <v>691880.06622066698</v>
      </c>
      <c r="Y36">
        <f ca="1"/>
        <v>7570339.6771672796</v>
      </c>
      <c r="Z36">
        <f ca="1"/>
        <v>348.02838134765602</v>
      </c>
      <c r="AA36">
        <f ca="1"/>
        <v>3</v>
      </c>
      <c r="AB36">
        <f ca="1"/>
        <v>1.5</v>
      </c>
      <c r="AC36">
        <f ca="1"/>
        <v>7.48</v>
      </c>
      <c r="AD36">
        <f ca="1"/>
        <v>1.6</v>
      </c>
      <c r="AE36">
        <f ca="1"/>
        <v>7.48</v>
      </c>
    </row>
    <row r="37" spans="1:31" x14ac:dyDescent="0.25">
      <c r="A37">
        <f ca="1"/>
        <v>36</v>
      </c>
      <c r="B37">
        <f ca="1"/>
        <v>3</v>
      </c>
      <c r="C37">
        <f ca="1"/>
        <v>8</v>
      </c>
      <c r="D37" s="17">
        <f ca="1"/>
        <v>691910.95245952741</v>
      </c>
      <c r="E37" s="17">
        <f ca="1"/>
        <v>7570324.1304497477</v>
      </c>
      <c r="F37">
        <f ca="1"/>
        <v>348.20090332031197</v>
      </c>
      <c r="G37">
        <f ca="1"/>
        <v>0</v>
      </c>
      <c r="H37">
        <f ca="1"/>
        <v>0</v>
      </c>
      <c r="I37" t="str">
        <f ca="1"/>
        <v>MIN NO MERGE</v>
      </c>
      <c r="J37">
        <f ca="1"/>
        <v>5</v>
      </c>
      <c r="K37" t="str">
        <f ca="1"/>
        <v>R-11</v>
      </c>
      <c r="L37" t="str">
        <f ca="1"/>
        <v>R-11</v>
      </c>
      <c r="M37">
        <f ca="1"/>
        <v>0</v>
      </c>
      <c r="N37">
        <f ca="1"/>
        <v>-0.57469961908038414</v>
      </c>
      <c r="O37">
        <f ca="1"/>
        <v>-0.57469961908038414</v>
      </c>
      <c r="P37">
        <f ca="1"/>
        <v>2.566893034509409</v>
      </c>
      <c r="Q37">
        <f ca="1"/>
        <v>1.5707963267948966</v>
      </c>
      <c r="R37">
        <f ca="1"/>
        <v>691909.32235097</v>
      </c>
      <c r="S37">
        <f ca="1"/>
        <v>7570320.73034003</v>
      </c>
      <c r="T37">
        <f ca="1"/>
        <v>348.30090332031199</v>
      </c>
      <c r="U37">
        <f ca="1"/>
        <v>691909.32235097</v>
      </c>
      <c r="V37">
        <f ca="1"/>
        <v>7570320.73034003</v>
      </c>
      <c r="W37">
        <f ca="1"/>
        <v>348.30090332031199</v>
      </c>
      <c r="X37">
        <f ca="1"/>
        <v>691880.06622066698</v>
      </c>
      <c r="Y37">
        <f ca="1"/>
        <v>7570339.6771672796</v>
      </c>
      <c r="Z37">
        <f ca="1"/>
        <v>348.02838134765602</v>
      </c>
      <c r="AA37">
        <f ca="1"/>
        <v>3</v>
      </c>
      <c r="AB37">
        <f ca="1"/>
        <v>1.5</v>
      </c>
      <c r="AC37">
        <f ca="1"/>
        <v>7.48</v>
      </c>
      <c r="AD37">
        <f ca="1"/>
        <v>1.6</v>
      </c>
      <c r="AE37">
        <f ca="1"/>
        <v>7.48</v>
      </c>
    </row>
    <row r="38" spans="1:31" x14ac:dyDescent="0.25">
      <c r="A38">
        <f ca="1"/>
        <v>37</v>
      </c>
      <c r="B38">
        <f ca="1"/>
        <v>0</v>
      </c>
      <c r="C38">
        <f ca="1"/>
        <v>9</v>
      </c>
      <c r="D38" s="17">
        <f ca="1"/>
        <v>691882.50211062166</v>
      </c>
      <c r="E38" s="17">
        <f ca="1"/>
        <v>7570342.5554376151</v>
      </c>
      <c r="F38">
        <f ca="1"/>
        <v>347.928381347656</v>
      </c>
      <c r="G38">
        <f ca="1"/>
        <v>0</v>
      </c>
      <c r="H38">
        <f ca="1"/>
        <v>0</v>
      </c>
      <c r="I38" t="str">
        <f ca="1"/>
        <v>MIN NO MERGE</v>
      </c>
      <c r="J38">
        <f ca="1"/>
        <v>5</v>
      </c>
      <c r="K38" t="str">
        <f ca="1"/>
        <v>R-11</v>
      </c>
      <c r="L38" t="str">
        <f ca="1"/>
        <v>R-11</v>
      </c>
      <c r="M38">
        <f ca="1"/>
        <v>1</v>
      </c>
      <c r="N38">
        <f ca="1"/>
        <v>2.566893034509409</v>
      </c>
      <c r="O38">
        <f ca="1"/>
        <v>2.566893034509409</v>
      </c>
      <c r="P38">
        <f ca="1"/>
        <v>2.566893034509409</v>
      </c>
      <c r="Q38">
        <f ca="1"/>
        <v>1.5707963267948966</v>
      </c>
      <c r="R38">
        <f ca="1"/>
        <v>691880.06622066698</v>
      </c>
      <c r="S38">
        <f ca="1"/>
        <v>7570339.6771672796</v>
      </c>
      <c r="T38">
        <f ca="1"/>
        <v>348.02838134765602</v>
      </c>
      <c r="U38">
        <f ca="1"/>
        <v>691909.32235097</v>
      </c>
      <c r="V38">
        <f ca="1"/>
        <v>7570320.73034003</v>
      </c>
      <c r="W38">
        <f ca="1"/>
        <v>348.30090332031199</v>
      </c>
      <c r="X38">
        <f ca="1"/>
        <v>691880.06622066698</v>
      </c>
      <c r="Y38">
        <f ca="1"/>
        <v>7570339.6771672796</v>
      </c>
      <c r="Z38">
        <f ca="1"/>
        <v>348.02838134765602</v>
      </c>
      <c r="AA38">
        <f ca="1"/>
        <v>3</v>
      </c>
      <c r="AB38">
        <f ca="1"/>
        <v>1.5</v>
      </c>
      <c r="AC38">
        <f ca="1"/>
        <v>7.48</v>
      </c>
      <c r="AD38">
        <f ca="1"/>
        <v>1.6</v>
      </c>
      <c r="AE38">
        <f ca="1"/>
        <v>7.48</v>
      </c>
    </row>
    <row r="39" spans="1:31" x14ac:dyDescent="0.25">
      <c r="A39">
        <f ca="1"/>
        <v>38</v>
      </c>
      <c r="B39">
        <f ca="1"/>
        <v>1</v>
      </c>
      <c r="C39">
        <f ca="1"/>
        <v>9</v>
      </c>
      <c r="D39" s="17">
        <f ca="1"/>
        <v>691881.15914162621</v>
      </c>
      <c r="E39" s="17">
        <f ca="1"/>
        <v>7570343.4251699168</v>
      </c>
      <c r="F39">
        <f ca="1"/>
        <v>347.928381347656</v>
      </c>
      <c r="G39">
        <f ca="1"/>
        <v>0</v>
      </c>
      <c r="H39">
        <f ca="1"/>
        <v>0</v>
      </c>
      <c r="I39" t="str">
        <f ca="1"/>
        <v>MIN NO MERGE</v>
      </c>
      <c r="J39">
        <f ca="1"/>
        <v>5</v>
      </c>
      <c r="K39" t="str">
        <f ca="1"/>
        <v>R-11</v>
      </c>
      <c r="L39" t="str">
        <f ca="1"/>
        <v>R-11</v>
      </c>
      <c r="M39">
        <f ca="1"/>
        <v>1</v>
      </c>
      <c r="N39">
        <f ca="1"/>
        <v>2.566893034509409</v>
      </c>
      <c r="O39">
        <f ca="1"/>
        <v>2.566893034509409</v>
      </c>
      <c r="P39">
        <f ca="1"/>
        <v>2.566893034509409</v>
      </c>
      <c r="Q39">
        <f ca="1"/>
        <v>1.5707963267948966</v>
      </c>
      <c r="R39">
        <f ca="1"/>
        <v>691880.06622066698</v>
      </c>
      <c r="S39">
        <f ca="1"/>
        <v>7570339.6771672796</v>
      </c>
      <c r="T39">
        <f ca="1"/>
        <v>348.02838134765602</v>
      </c>
      <c r="U39">
        <f ca="1"/>
        <v>691909.32235097</v>
      </c>
      <c r="V39">
        <f ca="1"/>
        <v>7570320.73034003</v>
      </c>
      <c r="W39">
        <f ca="1"/>
        <v>348.30090332031199</v>
      </c>
      <c r="X39">
        <f ca="1"/>
        <v>691880.06622066698</v>
      </c>
      <c r="Y39">
        <f ca="1"/>
        <v>7570339.6771672796</v>
      </c>
      <c r="Z39">
        <f ca="1"/>
        <v>348.02838134765602</v>
      </c>
      <c r="AA39">
        <f ca="1"/>
        <v>3</v>
      </c>
      <c r="AB39">
        <f ca="1"/>
        <v>1.5</v>
      </c>
      <c r="AC39">
        <f ca="1"/>
        <v>7.48</v>
      </c>
      <c r="AD39">
        <f ca="1"/>
        <v>1.6</v>
      </c>
      <c r="AE39">
        <f ca="1"/>
        <v>7.48</v>
      </c>
    </row>
    <row r="40" spans="1:31" x14ac:dyDescent="0.25">
      <c r="A40">
        <f ca="1"/>
        <v>39</v>
      </c>
      <c r="B40">
        <f ca="1"/>
        <v>2</v>
      </c>
      <c r="C40">
        <f ca="1"/>
        <v>9</v>
      </c>
      <c r="D40" s="17">
        <f ca="1"/>
        <v>691877.09314311412</v>
      </c>
      <c r="E40" s="17">
        <f ca="1"/>
        <v>7570337.1467898637</v>
      </c>
      <c r="F40">
        <f ca="1"/>
        <v>347.928381347656</v>
      </c>
      <c r="G40">
        <f ca="1"/>
        <v>0</v>
      </c>
      <c r="H40">
        <f ca="1"/>
        <v>0</v>
      </c>
      <c r="I40" t="str">
        <f ca="1"/>
        <v>MIN NO MERGE</v>
      </c>
      <c r="J40">
        <f ca="1"/>
        <v>5</v>
      </c>
      <c r="K40" t="str">
        <f ca="1"/>
        <v>R-11</v>
      </c>
      <c r="L40" t="str">
        <f ca="1"/>
        <v>R-11</v>
      </c>
      <c r="M40">
        <f ca="1"/>
        <v>1</v>
      </c>
      <c r="N40">
        <f ca="1"/>
        <v>2.566893034509409</v>
      </c>
      <c r="O40">
        <f ca="1"/>
        <v>2.566893034509409</v>
      </c>
      <c r="P40">
        <f ca="1"/>
        <v>2.566893034509409</v>
      </c>
      <c r="Q40">
        <f ca="1"/>
        <v>1.5707963267948966</v>
      </c>
      <c r="R40">
        <f ca="1"/>
        <v>691880.06622066698</v>
      </c>
      <c r="S40">
        <f ca="1"/>
        <v>7570339.6771672796</v>
      </c>
      <c r="T40">
        <f ca="1"/>
        <v>348.02838134765602</v>
      </c>
      <c r="U40">
        <f ca="1"/>
        <v>691909.32235097</v>
      </c>
      <c r="V40">
        <f ca="1"/>
        <v>7570320.73034003</v>
      </c>
      <c r="W40">
        <f ca="1"/>
        <v>348.30090332031199</v>
      </c>
      <c r="X40">
        <f ca="1"/>
        <v>691880.06622066698</v>
      </c>
      <c r="Y40">
        <f ca="1"/>
        <v>7570339.6771672796</v>
      </c>
      <c r="Z40">
        <f ca="1"/>
        <v>348.02838134765602</v>
      </c>
      <c r="AA40">
        <f ca="1"/>
        <v>3</v>
      </c>
      <c r="AB40">
        <f ca="1"/>
        <v>1.5</v>
      </c>
      <c r="AC40">
        <f ca="1"/>
        <v>7.48</v>
      </c>
      <c r="AD40">
        <f ca="1"/>
        <v>1.6</v>
      </c>
      <c r="AE40">
        <f ca="1"/>
        <v>7.48</v>
      </c>
    </row>
    <row r="41" spans="1:31" x14ac:dyDescent="0.25">
      <c r="A41">
        <f ca="1"/>
        <v>40</v>
      </c>
      <c r="B41">
        <f ca="1"/>
        <v>3</v>
      </c>
      <c r="C41">
        <f ca="1"/>
        <v>9</v>
      </c>
      <c r="D41" s="17">
        <f ca="1"/>
        <v>691878.43611210957</v>
      </c>
      <c r="E41" s="17">
        <f ca="1"/>
        <v>7570336.277057562</v>
      </c>
      <c r="F41">
        <f ca="1"/>
        <v>347.928381347656</v>
      </c>
      <c r="G41">
        <f ca="1"/>
        <v>0</v>
      </c>
      <c r="H41">
        <f ca="1"/>
        <v>0</v>
      </c>
      <c r="I41" t="str">
        <f ca="1"/>
        <v>MIN NO MERGE</v>
      </c>
      <c r="J41">
        <f ca="1"/>
        <v>5</v>
      </c>
      <c r="K41" t="str">
        <f ca="1"/>
        <v>R-11</v>
      </c>
      <c r="L41" t="str">
        <f ca="1"/>
        <v>R-11</v>
      </c>
      <c r="M41">
        <f ca="1"/>
        <v>1</v>
      </c>
      <c r="N41">
        <f ca="1"/>
        <v>2.566893034509409</v>
      </c>
      <c r="O41">
        <f ca="1"/>
        <v>2.566893034509409</v>
      </c>
      <c r="P41">
        <f ca="1"/>
        <v>2.566893034509409</v>
      </c>
      <c r="Q41">
        <f ca="1"/>
        <v>1.5707963267948966</v>
      </c>
      <c r="R41">
        <f ca="1"/>
        <v>691880.06622066698</v>
      </c>
      <c r="S41">
        <f ca="1"/>
        <v>7570339.6771672796</v>
      </c>
      <c r="T41">
        <f ca="1"/>
        <v>348.02838134765602</v>
      </c>
      <c r="U41">
        <f ca="1"/>
        <v>691909.32235097</v>
      </c>
      <c r="V41">
        <f ca="1"/>
        <v>7570320.73034003</v>
      </c>
      <c r="W41">
        <f ca="1"/>
        <v>348.30090332031199</v>
      </c>
      <c r="X41">
        <f ca="1"/>
        <v>691880.06622066698</v>
      </c>
      <c r="Y41">
        <f ca="1"/>
        <v>7570339.6771672796</v>
      </c>
      <c r="Z41">
        <f ca="1"/>
        <v>348.02838134765602</v>
      </c>
      <c r="AA41">
        <f ca="1"/>
        <v>3</v>
      </c>
      <c r="AB41">
        <f ca="1"/>
        <v>1.5</v>
      </c>
      <c r="AC41">
        <f ca="1"/>
        <v>7.48</v>
      </c>
      <c r="AD41">
        <f ca="1"/>
        <v>1.6</v>
      </c>
      <c r="AE41">
        <f ca="1"/>
        <v>7.48</v>
      </c>
    </row>
    <row r="42" spans="1:31" x14ac:dyDescent="0.25">
      <c r="A42">
        <f ca="1"/>
        <v>41</v>
      </c>
      <c r="B42">
        <f ca="1"/>
        <v>0</v>
      </c>
      <c r="C42">
        <f ca="1"/>
        <v>10</v>
      </c>
      <c r="D42" s="17">
        <f ca="1"/>
        <v>692034.99803329178</v>
      </c>
      <c r="E42" s="17">
        <f ca="1"/>
        <v>7570739.7734517781</v>
      </c>
      <c r="F42">
        <f ca="1"/>
        <v>351.70154418945299</v>
      </c>
      <c r="G42">
        <f ca="1"/>
        <v>0</v>
      </c>
      <c r="H42">
        <f ca="1"/>
        <v>0</v>
      </c>
      <c r="I42" t="str">
        <f ca="1"/>
        <v>MIN NO MERGE</v>
      </c>
      <c r="J42">
        <f ca="1"/>
        <v>6</v>
      </c>
      <c r="K42" t="str">
        <f ca="1"/>
        <v>R-12</v>
      </c>
      <c r="L42" t="str">
        <f ca="1"/>
        <v>R-12</v>
      </c>
      <c r="M42">
        <f ca="1"/>
        <v>0</v>
      </c>
      <c r="N42">
        <f ca="1"/>
        <v>-0.77470338384862458</v>
      </c>
      <c r="O42">
        <f ca="1"/>
        <v>-0.77470338384862458</v>
      </c>
      <c r="P42">
        <f ca="1"/>
        <v>2.3668892697411676</v>
      </c>
      <c r="Q42">
        <f ca="1"/>
        <v>1.5707963267948966</v>
      </c>
      <c r="R42">
        <f ca="1"/>
        <v>692036.69809301896</v>
      </c>
      <c r="S42">
        <f ca="1"/>
        <v>7570740.8240691796</v>
      </c>
      <c r="T42">
        <f ca="1"/>
        <v>351.80154418945301</v>
      </c>
      <c r="U42">
        <f ca="1"/>
        <v>692036.69809301896</v>
      </c>
      <c r="V42">
        <f ca="1"/>
        <v>7570740.8240691796</v>
      </c>
      <c r="W42">
        <f ca="1"/>
        <v>351.80154418945301</v>
      </c>
      <c r="X42">
        <f ca="1"/>
        <v>692012.72198079503</v>
      </c>
      <c r="Y42">
        <f ca="1"/>
        <v>7570764.2927504499</v>
      </c>
      <c r="Z42">
        <f ca="1"/>
        <v>351.21353149414</v>
      </c>
      <c r="AA42">
        <f ca="1"/>
        <v>2</v>
      </c>
      <c r="AB42">
        <f ca="1"/>
        <v>0.9</v>
      </c>
      <c r="AC42">
        <f ca="1"/>
        <v>3.88</v>
      </c>
      <c r="AD42">
        <f ca="1"/>
        <v>1.6</v>
      </c>
      <c r="AE42">
        <f ca="1"/>
        <v>3.88</v>
      </c>
    </row>
    <row r="43" spans="1:31" x14ac:dyDescent="0.25">
      <c r="A43">
        <f ca="1"/>
        <v>42</v>
      </c>
      <c r="B43">
        <f ca="1"/>
        <v>1</v>
      </c>
      <c r="C43">
        <f ca="1"/>
        <v>10</v>
      </c>
      <c r="D43" s="17">
        <f ca="1"/>
        <v>692036.14143897127</v>
      </c>
      <c r="E43" s="17">
        <f ca="1"/>
        <v>7570738.6542451605</v>
      </c>
      <c r="F43">
        <f ca="1"/>
        <v>351.70154418945299</v>
      </c>
      <c r="G43">
        <f ca="1"/>
        <v>0</v>
      </c>
      <c r="H43">
        <f ca="1"/>
        <v>0</v>
      </c>
      <c r="I43" t="str">
        <f ca="1"/>
        <v>MIN NO MERGE</v>
      </c>
      <c r="J43">
        <f ca="1"/>
        <v>6</v>
      </c>
      <c r="K43" t="str">
        <f ca="1"/>
        <v>R-12</v>
      </c>
      <c r="L43" t="str">
        <f ca="1"/>
        <v>R-12</v>
      </c>
      <c r="M43">
        <f ca="1"/>
        <v>0</v>
      </c>
      <c r="N43">
        <f ca="1"/>
        <v>-0.77470338384862458</v>
      </c>
      <c r="O43">
        <f ca="1"/>
        <v>-0.77470338384862458</v>
      </c>
      <c r="P43">
        <f ca="1"/>
        <v>2.3668892697411676</v>
      </c>
      <c r="Q43">
        <f ca="1"/>
        <v>1.5707963267948966</v>
      </c>
      <c r="R43">
        <f ca="1"/>
        <v>692036.69809301896</v>
      </c>
      <c r="S43">
        <f ca="1"/>
        <v>7570740.8240691796</v>
      </c>
      <c r="T43">
        <f ca="1"/>
        <v>351.80154418945301</v>
      </c>
      <c r="U43">
        <f ca="1"/>
        <v>692036.69809301896</v>
      </c>
      <c r="V43">
        <f ca="1"/>
        <v>7570740.8240691796</v>
      </c>
      <c r="W43">
        <f ca="1"/>
        <v>351.80154418945301</v>
      </c>
      <c r="X43">
        <f ca="1"/>
        <v>692012.72198079503</v>
      </c>
      <c r="Y43">
        <f ca="1"/>
        <v>7570764.2927504499</v>
      </c>
      <c r="Z43">
        <f ca="1"/>
        <v>351.21353149414</v>
      </c>
      <c r="AA43">
        <f ca="1"/>
        <v>2</v>
      </c>
      <c r="AB43">
        <f ca="1"/>
        <v>0.9</v>
      </c>
      <c r="AC43">
        <f ca="1"/>
        <v>3.88</v>
      </c>
      <c r="AD43">
        <f ca="1"/>
        <v>1.6</v>
      </c>
      <c r="AE43">
        <f ca="1"/>
        <v>3.88</v>
      </c>
    </row>
    <row r="44" spans="1:31" x14ac:dyDescent="0.25">
      <c r="A44">
        <f ca="1"/>
        <v>43</v>
      </c>
      <c r="B44">
        <f ca="1"/>
        <v>2</v>
      </c>
      <c r="C44">
        <f ca="1"/>
        <v>10</v>
      </c>
      <c r="D44" s="17">
        <f ca="1"/>
        <v>692038.85551501787</v>
      </c>
      <c r="E44" s="17">
        <f ca="1"/>
        <v>7570741.4270039331</v>
      </c>
      <c r="F44">
        <f ca="1"/>
        <v>351.70154418945299</v>
      </c>
      <c r="G44">
        <f ca="1"/>
        <v>0</v>
      </c>
      <c r="H44">
        <f ca="1"/>
        <v>0</v>
      </c>
      <c r="I44" t="str">
        <f ca="1"/>
        <v>MIN NO MERGE</v>
      </c>
      <c r="J44">
        <f ca="1"/>
        <v>6</v>
      </c>
      <c r="K44" t="str">
        <f ca="1"/>
        <v>R-12</v>
      </c>
      <c r="L44" t="str">
        <f ca="1"/>
        <v>R-12</v>
      </c>
      <c r="M44">
        <f ca="1"/>
        <v>0</v>
      </c>
      <c r="N44">
        <f ca="1"/>
        <v>-0.77470338384862458</v>
      </c>
      <c r="O44">
        <f ca="1"/>
        <v>-0.77470338384862458</v>
      </c>
      <c r="P44">
        <f ca="1"/>
        <v>2.3668892697411676</v>
      </c>
      <c r="Q44">
        <f ca="1"/>
        <v>1.5707963267948966</v>
      </c>
      <c r="R44">
        <f ca="1"/>
        <v>692036.69809301896</v>
      </c>
      <c r="S44">
        <f ca="1"/>
        <v>7570740.8240691796</v>
      </c>
      <c r="T44">
        <f ca="1"/>
        <v>351.80154418945301</v>
      </c>
      <c r="U44">
        <f ca="1"/>
        <v>692036.69809301896</v>
      </c>
      <c r="V44">
        <f ca="1"/>
        <v>7570740.8240691796</v>
      </c>
      <c r="W44">
        <f ca="1"/>
        <v>351.80154418945301</v>
      </c>
      <c r="X44">
        <f ca="1"/>
        <v>692012.72198079503</v>
      </c>
      <c r="Y44">
        <f ca="1"/>
        <v>7570764.2927504499</v>
      </c>
      <c r="Z44">
        <f ca="1"/>
        <v>351.21353149414</v>
      </c>
      <c r="AA44">
        <f ca="1"/>
        <v>2</v>
      </c>
      <c r="AB44">
        <f ca="1"/>
        <v>0.9</v>
      </c>
      <c r="AC44">
        <f ca="1"/>
        <v>3.88</v>
      </c>
      <c r="AD44">
        <f ca="1"/>
        <v>1.6</v>
      </c>
      <c r="AE44">
        <f ca="1"/>
        <v>3.88</v>
      </c>
    </row>
    <row r="45" spans="1:31" x14ac:dyDescent="0.25">
      <c r="A45">
        <f ca="1"/>
        <v>44</v>
      </c>
      <c r="B45">
        <f ca="1"/>
        <v>3</v>
      </c>
      <c r="C45">
        <f ca="1"/>
        <v>10</v>
      </c>
      <c r="D45" s="17">
        <f ca="1"/>
        <v>692037.71210933838</v>
      </c>
      <c r="E45" s="17">
        <f ca="1"/>
        <v>7570742.5462105507</v>
      </c>
      <c r="F45">
        <f ca="1"/>
        <v>351.70154418945299</v>
      </c>
      <c r="G45">
        <f ca="1"/>
        <v>0</v>
      </c>
      <c r="H45">
        <f ca="1"/>
        <v>0</v>
      </c>
      <c r="I45" t="str">
        <f ca="1"/>
        <v>MIN NO MERGE</v>
      </c>
      <c r="J45">
        <f ca="1"/>
        <v>6</v>
      </c>
      <c r="K45" t="str">
        <f ca="1"/>
        <v>R-12</v>
      </c>
      <c r="L45" t="str">
        <f ca="1"/>
        <v>R-12</v>
      </c>
      <c r="M45">
        <f ca="1"/>
        <v>0</v>
      </c>
      <c r="N45">
        <f ca="1"/>
        <v>-0.77470338384862458</v>
      </c>
      <c r="O45">
        <f ca="1"/>
        <v>-0.77470338384862458</v>
      </c>
      <c r="P45">
        <f ca="1"/>
        <v>2.3668892697411676</v>
      </c>
      <c r="Q45">
        <f ca="1"/>
        <v>1.5707963267948966</v>
      </c>
      <c r="R45">
        <f ca="1"/>
        <v>692036.69809301896</v>
      </c>
      <c r="S45">
        <f ca="1"/>
        <v>7570740.8240691796</v>
      </c>
      <c r="T45">
        <f ca="1"/>
        <v>351.80154418945301</v>
      </c>
      <c r="U45">
        <f ca="1"/>
        <v>692036.69809301896</v>
      </c>
      <c r="V45">
        <f ca="1"/>
        <v>7570740.8240691796</v>
      </c>
      <c r="W45">
        <f ca="1"/>
        <v>351.80154418945301</v>
      </c>
      <c r="X45">
        <f ca="1"/>
        <v>692012.72198079503</v>
      </c>
      <c r="Y45">
        <f ca="1"/>
        <v>7570764.2927504499</v>
      </c>
      <c r="Z45">
        <f ca="1"/>
        <v>351.21353149414</v>
      </c>
      <c r="AA45">
        <f ca="1"/>
        <v>2</v>
      </c>
      <c r="AB45">
        <f ca="1"/>
        <v>0.9</v>
      </c>
      <c r="AC45">
        <f ca="1"/>
        <v>3.88</v>
      </c>
      <c r="AD45">
        <f ca="1"/>
        <v>1.6</v>
      </c>
      <c r="AE45">
        <f ca="1"/>
        <v>3.88</v>
      </c>
    </row>
    <row r="46" spans="1:31" x14ac:dyDescent="0.25">
      <c r="A46">
        <f ca="1"/>
        <v>45</v>
      </c>
      <c r="B46">
        <f ca="1"/>
        <v>0</v>
      </c>
      <c r="C46">
        <f ca="1"/>
        <v>11</v>
      </c>
      <c r="D46" s="17">
        <f ca="1"/>
        <v>692014.42204052221</v>
      </c>
      <c r="E46" s="17">
        <f ca="1"/>
        <v>7570765.3433678513</v>
      </c>
      <c r="F46">
        <f ca="1"/>
        <v>351.11353149413998</v>
      </c>
      <c r="G46">
        <f ca="1"/>
        <v>0</v>
      </c>
      <c r="H46">
        <f ca="1"/>
        <v>0</v>
      </c>
      <c r="I46" t="str">
        <f ca="1"/>
        <v>MIN NO MERGE</v>
      </c>
      <c r="J46">
        <f ca="1"/>
        <v>6</v>
      </c>
      <c r="K46" t="str">
        <f ca="1"/>
        <v>R-12</v>
      </c>
      <c r="L46" t="str">
        <f ca="1"/>
        <v>R-12</v>
      </c>
      <c r="M46">
        <f ca="1"/>
        <v>1</v>
      </c>
      <c r="N46">
        <f ca="1"/>
        <v>2.3668892697411676</v>
      </c>
      <c r="O46">
        <f ca="1"/>
        <v>2.3668892697411676</v>
      </c>
      <c r="P46">
        <f ca="1"/>
        <v>2.3668892697411676</v>
      </c>
      <c r="Q46">
        <f ca="1"/>
        <v>1.5707963267948966</v>
      </c>
      <c r="R46">
        <f ca="1"/>
        <v>692012.72198079503</v>
      </c>
      <c r="S46">
        <f ca="1"/>
        <v>7570764.2927504499</v>
      </c>
      <c r="T46">
        <f ca="1"/>
        <v>351.21353149414</v>
      </c>
      <c r="U46">
        <f ca="1"/>
        <v>692036.69809301896</v>
      </c>
      <c r="V46">
        <f ca="1"/>
        <v>7570740.8240691796</v>
      </c>
      <c r="W46">
        <f ca="1"/>
        <v>351.80154418945301</v>
      </c>
      <c r="X46">
        <f ca="1"/>
        <v>692012.72198079503</v>
      </c>
      <c r="Y46">
        <f ca="1"/>
        <v>7570764.2927504499</v>
      </c>
      <c r="Z46">
        <f ca="1"/>
        <v>351.21353149414</v>
      </c>
      <c r="AA46">
        <f ca="1"/>
        <v>2</v>
      </c>
      <c r="AB46">
        <f ca="1"/>
        <v>0.9</v>
      </c>
      <c r="AC46">
        <f ca="1"/>
        <v>3.88</v>
      </c>
      <c r="AD46">
        <f ca="1"/>
        <v>1.6</v>
      </c>
      <c r="AE46">
        <f ca="1"/>
        <v>3.88</v>
      </c>
    </row>
    <row r="47" spans="1:31" x14ac:dyDescent="0.25">
      <c r="A47">
        <f ca="1"/>
        <v>46</v>
      </c>
      <c r="B47">
        <f ca="1"/>
        <v>1</v>
      </c>
      <c r="C47">
        <f ca="1"/>
        <v>11</v>
      </c>
      <c r="D47" s="17">
        <f ca="1"/>
        <v>692013.27863484272</v>
      </c>
      <c r="E47" s="17">
        <f ca="1"/>
        <v>7570766.4625744689</v>
      </c>
      <c r="F47">
        <f ca="1"/>
        <v>351.11353149413998</v>
      </c>
      <c r="G47">
        <f ca="1"/>
        <v>0</v>
      </c>
      <c r="H47">
        <f ca="1"/>
        <v>0</v>
      </c>
      <c r="I47" t="str">
        <f ca="1"/>
        <v>MIN NO MERGE</v>
      </c>
      <c r="J47">
        <f ca="1"/>
        <v>6</v>
      </c>
      <c r="K47" t="str">
        <f ca="1"/>
        <v>R-12</v>
      </c>
      <c r="L47" t="str">
        <f ca="1"/>
        <v>R-12</v>
      </c>
      <c r="M47">
        <f ca="1"/>
        <v>1</v>
      </c>
      <c r="N47">
        <f ca="1"/>
        <v>2.3668892697411676</v>
      </c>
      <c r="O47">
        <f ca="1"/>
        <v>2.3668892697411676</v>
      </c>
      <c r="P47">
        <f ca="1"/>
        <v>2.3668892697411676</v>
      </c>
      <c r="Q47">
        <f ca="1"/>
        <v>1.5707963267948966</v>
      </c>
      <c r="R47">
        <f ca="1"/>
        <v>692012.72198079503</v>
      </c>
      <c r="S47">
        <f ca="1"/>
        <v>7570764.2927504499</v>
      </c>
      <c r="T47">
        <f ca="1"/>
        <v>351.21353149414</v>
      </c>
      <c r="U47">
        <f ca="1"/>
        <v>692036.69809301896</v>
      </c>
      <c r="V47">
        <f ca="1"/>
        <v>7570740.8240691796</v>
      </c>
      <c r="W47">
        <f ca="1"/>
        <v>351.80154418945301</v>
      </c>
      <c r="X47">
        <f ca="1"/>
        <v>692012.72198079503</v>
      </c>
      <c r="Y47">
        <f ca="1"/>
        <v>7570764.2927504499</v>
      </c>
      <c r="Z47">
        <f ca="1"/>
        <v>351.21353149414</v>
      </c>
      <c r="AA47">
        <f ca="1"/>
        <v>2</v>
      </c>
      <c r="AB47">
        <f ca="1"/>
        <v>0.9</v>
      </c>
      <c r="AC47">
        <f ca="1"/>
        <v>3.88</v>
      </c>
      <c r="AD47">
        <f ca="1"/>
        <v>1.6</v>
      </c>
      <c r="AE47">
        <f ca="1"/>
        <v>3.88</v>
      </c>
    </row>
    <row r="48" spans="1:31" x14ac:dyDescent="0.25">
      <c r="A48">
        <f ca="1"/>
        <v>47</v>
      </c>
      <c r="B48">
        <f ca="1"/>
        <v>2</v>
      </c>
      <c r="C48">
        <f ca="1"/>
        <v>11</v>
      </c>
      <c r="D48" s="17">
        <f ca="1"/>
        <v>692010.56455879612</v>
      </c>
      <c r="E48" s="17">
        <f ca="1"/>
        <v>7570763.6898156963</v>
      </c>
      <c r="F48">
        <f ca="1"/>
        <v>351.11353149413998</v>
      </c>
      <c r="G48">
        <f ca="1"/>
        <v>0</v>
      </c>
      <c r="H48">
        <f ca="1"/>
        <v>0</v>
      </c>
      <c r="I48" t="str">
        <f ca="1"/>
        <v>MIN NO MERGE</v>
      </c>
      <c r="J48">
        <f ca="1"/>
        <v>6</v>
      </c>
      <c r="K48" t="str">
        <f ca="1"/>
        <v>R-12</v>
      </c>
      <c r="L48" t="str">
        <f ca="1"/>
        <v>R-12</v>
      </c>
      <c r="M48">
        <f ca="1"/>
        <v>1</v>
      </c>
      <c r="N48">
        <f ca="1"/>
        <v>2.3668892697411676</v>
      </c>
      <c r="O48">
        <f ca="1"/>
        <v>2.3668892697411676</v>
      </c>
      <c r="P48">
        <f ca="1"/>
        <v>2.3668892697411676</v>
      </c>
      <c r="Q48">
        <f ca="1"/>
        <v>1.5707963267948966</v>
      </c>
      <c r="R48">
        <f ca="1"/>
        <v>692012.72198079503</v>
      </c>
      <c r="S48">
        <f ca="1"/>
        <v>7570764.2927504499</v>
      </c>
      <c r="T48">
        <f ca="1"/>
        <v>351.21353149414</v>
      </c>
      <c r="U48">
        <f ca="1"/>
        <v>692036.69809301896</v>
      </c>
      <c r="V48">
        <f ca="1"/>
        <v>7570740.8240691796</v>
      </c>
      <c r="W48">
        <f ca="1"/>
        <v>351.80154418945301</v>
      </c>
      <c r="X48">
        <f ca="1"/>
        <v>692012.72198079503</v>
      </c>
      <c r="Y48">
        <f ca="1"/>
        <v>7570764.2927504499</v>
      </c>
      <c r="Z48">
        <f ca="1"/>
        <v>351.21353149414</v>
      </c>
      <c r="AA48">
        <f ca="1"/>
        <v>2</v>
      </c>
      <c r="AB48">
        <f ca="1"/>
        <v>0.9</v>
      </c>
      <c r="AC48">
        <f ca="1"/>
        <v>3.88</v>
      </c>
      <c r="AD48">
        <f ca="1"/>
        <v>1.6</v>
      </c>
      <c r="AE48">
        <f ca="1"/>
        <v>3.88</v>
      </c>
    </row>
    <row r="49" spans="1:31" x14ac:dyDescent="0.25">
      <c r="A49">
        <f ca="1"/>
        <v>48</v>
      </c>
      <c r="B49">
        <f ca="1"/>
        <v>3</v>
      </c>
      <c r="C49">
        <f ca="1"/>
        <v>11</v>
      </c>
      <c r="D49" s="17">
        <f ca="1"/>
        <v>692011.70796447562</v>
      </c>
      <c r="E49" s="17">
        <f ca="1"/>
        <v>7570762.5706090787</v>
      </c>
      <c r="F49">
        <f ca="1"/>
        <v>351.11353149413998</v>
      </c>
      <c r="G49">
        <f ca="1"/>
        <v>0</v>
      </c>
      <c r="H49">
        <f ca="1"/>
        <v>0</v>
      </c>
      <c r="I49" t="str">
        <f ca="1"/>
        <v>MIN NO MERGE</v>
      </c>
      <c r="J49">
        <f ca="1"/>
        <v>6</v>
      </c>
      <c r="K49" t="str">
        <f ca="1"/>
        <v>R-12</v>
      </c>
      <c r="L49" t="str">
        <f ca="1"/>
        <v>R-12</v>
      </c>
      <c r="M49">
        <f ca="1"/>
        <v>1</v>
      </c>
      <c r="N49">
        <f ca="1"/>
        <v>2.3668892697411676</v>
      </c>
      <c r="O49">
        <f ca="1"/>
        <v>2.3668892697411676</v>
      </c>
      <c r="P49">
        <f ca="1"/>
        <v>2.3668892697411676</v>
      </c>
      <c r="Q49">
        <f ca="1"/>
        <v>1.5707963267948966</v>
      </c>
      <c r="R49">
        <f ca="1"/>
        <v>692012.72198079503</v>
      </c>
      <c r="S49">
        <f ca="1"/>
        <v>7570764.2927504499</v>
      </c>
      <c r="T49">
        <f ca="1"/>
        <v>351.21353149414</v>
      </c>
      <c r="U49">
        <f ca="1"/>
        <v>692036.69809301896</v>
      </c>
      <c r="V49">
        <f ca="1"/>
        <v>7570740.8240691796</v>
      </c>
      <c r="W49">
        <f ca="1"/>
        <v>351.80154418945301</v>
      </c>
      <c r="X49">
        <f ca="1"/>
        <v>692012.72198079503</v>
      </c>
      <c r="Y49">
        <f ca="1"/>
        <v>7570764.2927504499</v>
      </c>
      <c r="Z49">
        <f ca="1"/>
        <v>351.21353149414</v>
      </c>
      <c r="AA49">
        <f ca="1"/>
        <v>2</v>
      </c>
      <c r="AB49">
        <f ca="1"/>
        <v>0.9</v>
      </c>
      <c r="AC49">
        <f ca="1"/>
        <v>3.88</v>
      </c>
      <c r="AD49">
        <f ca="1"/>
        <v>1.6</v>
      </c>
      <c r="AE49">
        <f ca="1"/>
        <v>3.88</v>
      </c>
    </row>
    <row r="50" spans="1:31" x14ac:dyDescent="0.25">
      <c r="A50">
        <f ca="1"/>
        <v>49</v>
      </c>
      <c r="B50">
        <f ca="1"/>
        <v>0</v>
      </c>
      <c r="C50">
        <f ca="1"/>
        <v>12</v>
      </c>
      <c r="D50" s="17">
        <f ca="1"/>
        <v>692159.30228525796</v>
      </c>
      <c r="E50" s="17">
        <f ca="1"/>
        <v>7571142.430786931</v>
      </c>
      <c r="F50">
        <f ca="1"/>
        <v>344.104895019531</v>
      </c>
      <c r="G50">
        <f ca="1"/>
        <v>0</v>
      </c>
      <c r="H50">
        <f ca="1"/>
        <v>0</v>
      </c>
      <c r="I50" t="str">
        <f ca="1"/>
        <v>MIN NO MERGE</v>
      </c>
      <c r="J50">
        <f ca="1"/>
        <v>7</v>
      </c>
      <c r="K50" t="str">
        <f ca="1"/>
        <v>R-13</v>
      </c>
      <c r="L50" t="str">
        <f ca="1"/>
        <v>R-13</v>
      </c>
      <c r="M50">
        <f ca="1"/>
        <v>0</v>
      </c>
      <c r="N50">
        <f ca="1"/>
        <v>-0.26279498343432195</v>
      </c>
      <c r="O50">
        <f ca="1"/>
        <v>-0.26279498343432195</v>
      </c>
      <c r="P50">
        <f ca="1"/>
        <v>2.8787976701554721</v>
      </c>
      <c r="Q50">
        <f ca="1"/>
        <v>1.5707963267948966</v>
      </c>
      <c r="R50">
        <f ca="1"/>
        <v>692161.01794817403</v>
      </c>
      <c r="S50">
        <f ca="1"/>
        <v>7571146.9606104102</v>
      </c>
      <c r="T50">
        <f ca="1"/>
        <v>344.20489501953102</v>
      </c>
      <c r="U50">
        <f ca="1"/>
        <v>692161.01794817403</v>
      </c>
      <c r="V50">
        <f ca="1"/>
        <v>7571146.9606104102</v>
      </c>
      <c r="W50">
        <f ca="1"/>
        <v>344.20489501953102</v>
      </c>
      <c r="X50">
        <f ca="1"/>
        <v>692109.38757610798</v>
      </c>
      <c r="Y50">
        <f ca="1"/>
        <v>7571160.8500351701</v>
      </c>
      <c r="Z50">
        <f ca="1"/>
        <v>343.79400634765602</v>
      </c>
      <c r="AA50">
        <f ca="1"/>
        <v>4</v>
      </c>
      <c r="AB50">
        <f ca="1"/>
        <v>1.5</v>
      </c>
      <c r="AC50">
        <f ca="1"/>
        <v>9.64</v>
      </c>
      <c r="AD50">
        <f ca="1"/>
        <v>1.6</v>
      </c>
      <c r="AE50">
        <f ca="1"/>
        <v>9.64</v>
      </c>
    </row>
    <row r="51" spans="1:31" x14ac:dyDescent="0.25">
      <c r="A51">
        <f ca="1"/>
        <v>50</v>
      </c>
      <c r="B51">
        <f ca="1"/>
        <v>1</v>
      </c>
      <c r="C51">
        <f ca="1"/>
        <v>12</v>
      </c>
      <c r="D51" s="17">
        <f ca="1"/>
        <v>692160.84735352756</v>
      </c>
      <c r="E51" s="17">
        <f ca="1"/>
        <v>7571142.01513799</v>
      </c>
      <c r="F51">
        <f ca="1"/>
        <v>344.104895019531</v>
      </c>
      <c r="G51">
        <f ca="1"/>
        <v>0</v>
      </c>
      <c r="H51">
        <f ca="1"/>
        <v>0</v>
      </c>
      <c r="I51" t="str">
        <f ca="1"/>
        <v>MIN NO MERGE</v>
      </c>
      <c r="J51">
        <f ca="1"/>
        <v>7</v>
      </c>
      <c r="K51" t="str">
        <f ca="1"/>
        <v>R-13</v>
      </c>
      <c r="L51" t="str">
        <f ca="1"/>
        <v>R-13</v>
      </c>
      <c r="M51">
        <f ca="1"/>
        <v>0</v>
      </c>
      <c r="N51">
        <f ca="1"/>
        <v>-0.26279498343432195</v>
      </c>
      <c r="O51">
        <f ca="1"/>
        <v>-0.26279498343432195</v>
      </c>
      <c r="P51">
        <f ca="1"/>
        <v>2.8787976701554721</v>
      </c>
      <c r="Q51">
        <f ca="1"/>
        <v>1.5707963267948966</v>
      </c>
      <c r="R51">
        <f ca="1"/>
        <v>692161.01794817403</v>
      </c>
      <c r="S51">
        <f ca="1"/>
        <v>7571146.9606104102</v>
      </c>
      <c r="T51">
        <f ca="1"/>
        <v>344.20489501953102</v>
      </c>
      <c r="U51">
        <f ca="1"/>
        <v>692161.01794817403</v>
      </c>
      <c r="V51">
        <f ca="1"/>
        <v>7571146.9606104102</v>
      </c>
      <c r="W51">
        <f ca="1"/>
        <v>344.20489501953102</v>
      </c>
      <c r="X51">
        <f ca="1"/>
        <v>692109.38757610798</v>
      </c>
      <c r="Y51">
        <f ca="1"/>
        <v>7571160.8500351701</v>
      </c>
      <c r="Z51">
        <f ca="1"/>
        <v>343.79400634765602</v>
      </c>
      <c r="AA51">
        <f ca="1"/>
        <v>4</v>
      </c>
      <c r="AB51">
        <f ca="1"/>
        <v>1.5</v>
      </c>
      <c r="AC51">
        <f ca="1"/>
        <v>9.64</v>
      </c>
      <c r="AD51">
        <f ca="1"/>
        <v>1.6</v>
      </c>
      <c r="AE51">
        <f ca="1"/>
        <v>9.64</v>
      </c>
    </row>
    <row r="52" spans="1:31" x14ac:dyDescent="0.25">
      <c r="A52">
        <f ca="1"/>
        <v>51</v>
      </c>
      <c r="B52">
        <f ca="1"/>
        <v>2</v>
      </c>
      <c r="C52">
        <f ca="1"/>
        <v>12</v>
      </c>
      <c r="D52" s="17">
        <f ca="1"/>
        <v>692163.3516383979</v>
      </c>
      <c r="E52" s="17">
        <f ca="1"/>
        <v>7571151.3241743138</v>
      </c>
      <c r="F52">
        <f ca="1"/>
        <v>344.104895019531</v>
      </c>
      <c r="G52">
        <f ca="1"/>
        <v>0</v>
      </c>
      <c r="H52">
        <f ca="1"/>
        <v>0</v>
      </c>
      <c r="I52" t="str">
        <f ca="1"/>
        <v>MIN NO MERGE</v>
      </c>
      <c r="J52">
        <f ca="1"/>
        <v>7</v>
      </c>
      <c r="K52" t="str">
        <f ca="1"/>
        <v>R-13</v>
      </c>
      <c r="L52" t="str">
        <f ca="1"/>
        <v>R-13</v>
      </c>
      <c r="M52">
        <f ca="1"/>
        <v>0</v>
      </c>
      <c r="N52">
        <f ca="1"/>
        <v>-0.26279498343432195</v>
      </c>
      <c r="O52">
        <f ca="1"/>
        <v>-0.26279498343432195</v>
      </c>
      <c r="P52">
        <f ca="1"/>
        <v>2.8787976701554721</v>
      </c>
      <c r="Q52">
        <f ca="1"/>
        <v>1.5707963267948966</v>
      </c>
      <c r="R52">
        <f ca="1"/>
        <v>692161.01794817403</v>
      </c>
      <c r="S52">
        <f ca="1"/>
        <v>7571146.9606104102</v>
      </c>
      <c r="T52">
        <f ca="1"/>
        <v>344.20489501953102</v>
      </c>
      <c r="U52">
        <f ca="1"/>
        <v>692161.01794817403</v>
      </c>
      <c r="V52">
        <f ca="1"/>
        <v>7571146.9606104102</v>
      </c>
      <c r="W52">
        <f ca="1"/>
        <v>344.20489501953102</v>
      </c>
      <c r="X52">
        <f ca="1"/>
        <v>692109.38757610798</v>
      </c>
      <c r="Y52">
        <f ca="1"/>
        <v>7571160.8500351701</v>
      </c>
      <c r="Z52">
        <f ca="1"/>
        <v>343.79400634765602</v>
      </c>
      <c r="AA52">
        <f ca="1"/>
        <v>4</v>
      </c>
      <c r="AB52">
        <f ca="1"/>
        <v>1.5</v>
      </c>
      <c r="AC52">
        <f ca="1"/>
        <v>9.64</v>
      </c>
      <c r="AD52">
        <f ca="1"/>
        <v>1.6</v>
      </c>
      <c r="AE52">
        <f ca="1"/>
        <v>9.64</v>
      </c>
    </row>
    <row r="53" spans="1:31" x14ac:dyDescent="0.25">
      <c r="A53">
        <f ca="1"/>
        <v>52</v>
      </c>
      <c r="B53">
        <f ca="1"/>
        <v>3</v>
      </c>
      <c r="C53">
        <f ca="1"/>
        <v>12</v>
      </c>
      <c r="D53" s="17">
        <f ca="1"/>
        <v>692161.8065701283</v>
      </c>
      <c r="E53" s="17">
        <f ca="1"/>
        <v>7571151.7398232548</v>
      </c>
      <c r="F53">
        <f ca="1"/>
        <v>344.104895019531</v>
      </c>
      <c r="G53">
        <f ca="1"/>
        <v>0</v>
      </c>
      <c r="H53">
        <f ca="1"/>
        <v>0</v>
      </c>
      <c r="I53" t="str">
        <f ca="1"/>
        <v>MIN NO MERGE</v>
      </c>
      <c r="J53">
        <f ca="1"/>
        <v>7</v>
      </c>
      <c r="K53" t="str">
        <f ca="1"/>
        <v>R-13</v>
      </c>
      <c r="L53" t="str">
        <f ca="1"/>
        <v>R-13</v>
      </c>
      <c r="M53">
        <f ca="1"/>
        <v>0</v>
      </c>
      <c r="N53">
        <f ca="1"/>
        <v>-0.26279498343432195</v>
      </c>
      <c r="O53">
        <f ca="1"/>
        <v>-0.26279498343432195</v>
      </c>
      <c r="P53">
        <f ca="1"/>
        <v>2.8787976701554721</v>
      </c>
      <c r="Q53">
        <f ca="1"/>
        <v>1.5707963267948966</v>
      </c>
      <c r="R53">
        <f ca="1"/>
        <v>692161.01794817403</v>
      </c>
      <c r="S53">
        <f ca="1"/>
        <v>7571146.9606104102</v>
      </c>
      <c r="T53">
        <f ca="1"/>
        <v>344.20489501953102</v>
      </c>
      <c r="U53">
        <f ca="1"/>
        <v>692161.01794817403</v>
      </c>
      <c r="V53">
        <f ca="1"/>
        <v>7571146.9606104102</v>
      </c>
      <c r="W53">
        <f ca="1"/>
        <v>344.20489501953102</v>
      </c>
      <c r="X53">
        <f ca="1"/>
        <v>692109.38757610798</v>
      </c>
      <c r="Y53">
        <f ca="1"/>
        <v>7571160.8500351701</v>
      </c>
      <c r="Z53">
        <f ca="1"/>
        <v>343.79400634765602</v>
      </c>
      <c r="AA53">
        <f ca="1"/>
        <v>4</v>
      </c>
      <c r="AB53">
        <f ca="1"/>
        <v>1.5</v>
      </c>
      <c r="AC53">
        <f ca="1"/>
        <v>9.64</v>
      </c>
      <c r="AD53">
        <f ca="1"/>
        <v>1.6</v>
      </c>
      <c r="AE53">
        <f ca="1"/>
        <v>9.64</v>
      </c>
    </row>
    <row r="54" spans="1:31" x14ac:dyDescent="0.25">
      <c r="A54">
        <f ca="1"/>
        <v>53</v>
      </c>
      <c r="B54">
        <f ca="1"/>
        <v>0</v>
      </c>
      <c r="C54">
        <f ca="1"/>
        <v>13</v>
      </c>
      <c r="D54" s="17">
        <f ca="1"/>
        <v>692111.10323902406</v>
      </c>
      <c r="E54" s="17">
        <f ca="1"/>
        <v>7571165.3798586493</v>
      </c>
      <c r="F54">
        <f ca="1"/>
        <v>343.694006347656</v>
      </c>
      <c r="G54">
        <f ca="1"/>
        <v>0</v>
      </c>
      <c r="H54">
        <f ca="1"/>
        <v>0</v>
      </c>
      <c r="I54" t="str">
        <f ca="1"/>
        <v>MIN NO MERGE</v>
      </c>
      <c r="J54">
        <f ca="1"/>
        <v>7</v>
      </c>
      <c r="K54" t="str">
        <f ca="1"/>
        <v>R-13</v>
      </c>
      <c r="L54" t="str">
        <f ca="1"/>
        <v>R-13</v>
      </c>
      <c r="M54">
        <f ca="1"/>
        <v>1</v>
      </c>
      <c r="N54">
        <f ca="1"/>
        <v>2.8787976701554721</v>
      </c>
      <c r="O54">
        <f ca="1"/>
        <v>2.8787976701554721</v>
      </c>
      <c r="P54">
        <f ca="1"/>
        <v>2.8787976701554721</v>
      </c>
      <c r="Q54">
        <f ca="1"/>
        <v>1.5707963267948966</v>
      </c>
      <c r="R54">
        <f ca="1"/>
        <v>692109.38757610798</v>
      </c>
      <c r="S54">
        <f ca="1"/>
        <v>7571160.8500351701</v>
      </c>
      <c r="T54">
        <f ca="1"/>
        <v>343.79400634765602</v>
      </c>
      <c r="U54">
        <f ca="1"/>
        <v>692161.01794817403</v>
      </c>
      <c r="V54">
        <f ca="1"/>
        <v>7571146.9606104102</v>
      </c>
      <c r="W54">
        <f ca="1"/>
        <v>344.20489501953102</v>
      </c>
      <c r="X54">
        <f ca="1"/>
        <v>692109.38757610798</v>
      </c>
      <c r="Y54">
        <f ca="1"/>
        <v>7571160.8500351701</v>
      </c>
      <c r="Z54">
        <f ca="1"/>
        <v>343.79400634765602</v>
      </c>
      <c r="AA54">
        <f ca="1"/>
        <v>4</v>
      </c>
      <c r="AB54">
        <f ca="1"/>
        <v>1.5</v>
      </c>
      <c r="AC54">
        <f ca="1"/>
        <v>9.64</v>
      </c>
      <c r="AD54">
        <f ca="1"/>
        <v>1.6</v>
      </c>
      <c r="AE54">
        <f ca="1"/>
        <v>9.64</v>
      </c>
    </row>
    <row r="55" spans="1:31" x14ac:dyDescent="0.25">
      <c r="A55">
        <f ca="1"/>
        <v>54</v>
      </c>
      <c r="B55">
        <f ca="1"/>
        <v>1</v>
      </c>
      <c r="C55">
        <f ca="1"/>
        <v>13</v>
      </c>
      <c r="D55" s="17">
        <f ca="1"/>
        <v>692109.55817075446</v>
      </c>
      <c r="E55" s="17">
        <f ca="1"/>
        <v>7571165.7955075903</v>
      </c>
      <c r="F55">
        <f ca="1"/>
        <v>343.694006347656</v>
      </c>
      <c r="G55">
        <f ca="1"/>
        <v>0</v>
      </c>
      <c r="H55">
        <f ca="1"/>
        <v>0</v>
      </c>
      <c r="I55" t="str">
        <f ca="1"/>
        <v>MIN NO MERGE</v>
      </c>
      <c r="J55">
        <f ca="1"/>
        <v>7</v>
      </c>
      <c r="K55" t="str">
        <f ca="1"/>
        <v>R-13</v>
      </c>
      <c r="L55" t="str">
        <f ca="1"/>
        <v>R-13</v>
      </c>
      <c r="M55">
        <f ca="1"/>
        <v>1</v>
      </c>
      <c r="N55">
        <f ca="1"/>
        <v>2.8787976701554721</v>
      </c>
      <c r="O55">
        <f ca="1"/>
        <v>2.8787976701554721</v>
      </c>
      <c r="P55">
        <f ca="1"/>
        <v>2.8787976701554721</v>
      </c>
      <c r="Q55">
        <f ca="1"/>
        <v>1.5707963267948966</v>
      </c>
      <c r="R55">
        <f ca="1"/>
        <v>692109.38757610798</v>
      </c>
      <c r="S55">
        <f ca="1"/>
        <v>7571160.8500351701</v>
      </c>
      <c r="T55">
        <f ca="1"/>
        <v>343.79400634765602</v>
      </c>
      <c r="U55">
        <f ca="1"/>
        <v>692161.01794817403</v>
      </c>
      <c r="V55">
        <f ca="1"/>
        <v>7571146.9606104102</v>
      </c>
      <c r="W55">
        <f ca="1"/>
        <v>344.20489501953102</v>
      </c>
      <c r="X55">
        <f ca="1"/>
        <v>692109.38757610798</v>
      </c>
      <c r="Y55">
        <f ca="1"/>
        <v>7571160.8500351701</v>
      </c>
      <c r="Z55">
        <f ca="1"/>
        <v>343.79400634765602</v>
      </c>
      <c r="AA55">
        <f ca="1"/>
        <v>4</v>
      </c>
      <c r="AB55">
        <f ca="1"/>
        <v>1.5</v>
      </c>
      <c r="AC55">
        <f ca="1"/>
        <v>9.64</v>
      </c>
      <c r="AD55">
        <f ca="1"/>
        <v>1.6</v>
      </c>
      <c r="AE55">
        <f ca="1"/>
        <v>9.64</v>
      </c>
    </row>
    <row r="56" spans="1:31" x14ac:dyDescent="0.25">
      <c r="A56">
        <f ca="1"/>
        <v>55</v>
      </c>
      <c r="B56">
        <f ca="1"/>
        <v>2</v>
      </c>
      <c r="C56">
        <f ca="1"/>
        <v>13</v>
      </c>
      <c r="D56" s="17">
        <f ca="1"/>
        <v>692107.05388588412</v>
      </c>
      <c r="E56" s="17">
        <f ca="1"/>
        <v>7571156.4864712665</v>
      </c>
      <c r="F56">
        <f ca="1"/>
        <v>343.694006347656</v>
      </c>
      <c r="G56">
        <f ca="1"/>
        <v>0</v>
      </c>
      <c r="H56">
        <f ca="1"/>
        <v>0</v>
      </c>
      <c r="I56" t="str">
        <f ca="1"/>
        <v>MIN NO MERGE</v>
      </c>
      <c r="J56">
        <f ca="1"/>
        <v>7</v>
      </c>
      <c r="K56" t="str">
        <f ca="1"/>
        <v>R-13</v>
      </c>
      <c r="L56" t="str">
        <f ca="1"/>
        <v>R-13</v>
      </c>
      <c r="M56">
        <f ca="1"/>
        <v>1</v>
      </c>
      <c r="N56">
        <f ca="1"/>
        <v>2.8787976701554721</v>
      </c>
      <c r="O56">
        <f ca="1"/>
        <v>2.8787976701554721</v>
      </c>
      <c r="P56">
        <f ca="1"/>
        <v>2.8787976701554721</v>
      </c>
      <c r="Q56">
        <f ca="1"/>
        <v>1.5707963267948966</v>
      </c>
      <c r="R56">
        <f ca="1"/>
        <v>692109.38757610798</v>
      </c>
      <c r="S56">
        <f ca="1"/>
        <v>7571160.8500351701</v>
      </c>
      <c r="T56">
        <f ca="1"/>
        <v>343.79400634765602</v>
      </c>
      <c r="U56">
        <f ca="1"/>
        <v>692161.01794817403</v>
      </c>
      <c r="V56">
        <f ca="1"/>
        <v>7571146.9606104102</v>
      </c>
      <c r="W56">
        <f ca="1"/>
        <v>344.20489501953102</v>
      </c>
      <c r="X56">
        <f ca="1"/>
        <v>692109.38757610798</v>
      </c>
      <c r="Y56">
        <f ca="1"/>
        <v>7571160.8500351701</v>
      </c>
      <c r="Z56">
        <f ca="1"/>
        <v>343.79400634765602</v>
      </c>
      <c r="AA56">
        <f ca="1"/>
        <v>4</v>
      </c>
      <c r="AB56">
        <f ca="1"/>
        <v>1.5</v>
      </c>
      <c r="AC56">
        <f ca="1"/>
        <v>9.64</v>
      </c>
      <c r="AD56">
        <f ca="1"/>
        <v>1.6</v>
      </c>
      <c r="AE56">
        <f ca="1"/>
        <v>9.64</v>
      </c>
    </row>
    <row r="57" spans="1:31" x14ac:dyDescent="0.25">
      <c r="A57">
        <f ca="1"/>
        <v>56</v>
      </c>
      <c r="B57">
        <f ca="1"/>
        <v>3</v>
      </c>
      <c r="C57">
        <f ca="1"/>
        <v>13</v>
      </c>
      <c r="D57" s="17">
        <f ca="1"/>
        <v>692108.59895415371</v>
      </c>
      <c r="E57" s="17">
        <f ca="1"/>
        <v>7571156.0708223255</v>
      </c>
      <c r="F57">
        <f ca="1"/>
        <v>343.694006347656</v>
      </c>
      <c r="G57">
        <f ca="1"/>
        <v>0</v>
      </c>
      <c r="H57">
        <f ca="1"/>
        <v>0</v>
      </c>
      <c r="I57" t="str">
        <f ca="1"/>
        <v>MIN NO MERGE</v>
      </c>
      <c r="J57">
        <f ca="1"/>
        <v>7</v>
      </c>
      <c r="K57" t="str">
        <f ca="1"/>
        <v>R-13</v>
      </c>
      <c r="L57" t="str">
        <f ca="1"/>
        <v>R-13</v>
      </c>
      <c r="M57">
        <f ca="1"/>
        <v>1</v>
      </c>
      <c r="N57">
        <f ca="1"/>
        <v>2.8787976701554721</v>
      </c>
      <c r="O57">
        <f ca="1"/>
        <v>2.8787976701554721</v>
      </c>
      <c r="P57">
        <f ca="1"/>
        <v>2.8787976701554721</v>
      </c>
      <c r="Q57">
        <f ca="1"/>
        <v>1.5707963267948966</v>
      </c>
      <c r="R57">
        <f ca="1"/>
        <v>692109.38757610798</v>
      </c>
      <c r="S57">
        <f ca="1"/>
        <v>7571160.8500351701</v>
      </c>
      <c r="T57">
        <f ca="1"/>
        <v>343.79400634765602</v>
      </c>
      <c r="U57">
        <f ca="1"/>
        <v>692161.01794817403</v>
      </c>
      <c r="V57">
        <f ca="1"/>
        <v>7571146.9606104102</v>
      </c>
      <c r="W57">
        <f ca="1"/>
        <v>344.20489501953102</v>
      </c>
      <c r="X57">
        <f ca="1"/>
        <v>692109.38757610798</v>
      </c>
      <c r="Y57">
        <f ca="1"/>
        <v>7571160.8500351701</v>
      </c>
      <c r="Z57">
        <f ca="1"/>
        <v>343.79400634765602</v>
      </c>
      <c r="AA57">
        <f ca="1"/>
        <v>4</v>
      </c>
      <c r="AB57">
        <f ca="1"/>
        <v>1.5</v>
      </c>
      <c r="AC57">
        <f ca="1"/>
        <v>9.64</v>
      </c>
      <c r="AD57">
        <f ca="1"/>
        <v>1.6</v>
      </c>
      <c r="AE57">
        <f ca="1"/>
        <v>9.64</v>
      </c>
    </row>
    <row r="58" spans="1:31" x14ac:dyDescent="0.25">
      <c r="A58">
        <f ca="1"/>
        <v>57</v>
      </c>
      <c r="B58">
        <f ca="1"/>
        <v>0</v>
      </c>
      <c r="C58">
        <f ca="1"/>
        <v>14</v>
      </c>
      <c r="D58" s="17">
        <f ca="1"/>
        <v>692208.10609163239</v>
      </c>
      <c r="E58" s="17">
        <f ca="1"/>
        <v>7571610.7801507972</v>
      </c>
      <c r="F58">
        <f ca="1"/>
        <v>342.61350097656197</v>
      </c>
      <c r="G58">
        <f ca="1"/>
        <v>0</v>
      </c>
      <c r="H58">
        <f ca="1"/>
        <v>0</v>
      </c>
      <c r="I58" t="str">
        <f ca="1"/>
        <v>MIN NO MERGE</v>
      </c>
      <c r="J58">
        <f ca="1"/>
        <v>8</v>
      </c>
      <c r="K58" t="str">
        <f ca="1"/>
        <v>R-14</v>
      </c>
      <c r="L58" t="str">
        <f ca="1"/>
        <v>R-14</v>
      </c>
      <c r="M58">
        <f ca="1"/>
        <v>0</v>
      </c>
      <c r="N58">
        <f ca="1"/>
        <v>4.1642579093552623E-2</v>
      </c>
      <c r="O58">
        <f ca="1"/>
        <v>4.1642579093552623E-2</v>
      </c>
      <c r="P58">
        <f ca="1"/>
        <v>-3.0999500744962405</v>
      </c>
      <c r="Q58">
        <f ca="1"/>
        <v>1.5707963267948966</v>
      </c>
      <c r="R58">
        <f ca="1"/>
        <v>692208.38501628197</v>
      </c>
      <c r="S58">
        <f ca="1"/>
        <v>7571615.6159548704</v>
      </c>
      <c r="T58">
        <f ca="1"/>
        <v>342.71350097656199</v>
      </c>
      <c r="U58">
        <f ca="1"/>
        <v>692208.38501628197</v>
      </c>
      <c r="V58">
        <f ca="1"/>
        <v>7571615.6159548704</v>
      </c>
      <c r="W58">
        <f ca="1"/>
        <v>342.71350097656199</v>
      </c>
      <c r="X58">
        <f ca="1"/>
        <v>692159.34616929898</v>
      </c>
      <c r="Y58">
        <f ca="1"/>
        <v>7571613.5726695796</v>
      </c>
      <c r="Z58">
        <f ca="1"/>
        <v>342.2919921875</v>
      </c>
      <c r="AA58">
        <f ca="1"/>
        <v>4</v>
      </c>
      <c r="AB58">
        <f ca="1"/>
        <v>1.5</v>
      </c>
      <c r="AC58">
        <f ca="1"/>
        <v>9.64</v>
      </c>
      <c r="AD58">
        <f ca="1"/>
        <v>1.6</v>
      </c>
      <c r="AE58">
        <f ca="1"/>
        <v>9.64</v>
      </c>
    </row>
    <row r="59" spans="1:31" x14ac:dyDescent="0.25">
      <c r="A59">
        <f ca="1"/>
        <v>58</v>
      </c>
      <c r="B59">
        <f ca="1"/>
        <v>1</v>
      </c>
      <c r="C59">
        <f ca="1"/>
        <v>14</v>
      </c>
      <c r="D59" s="17">
        <f ca="1"/>
        <v>692209.7047045494</v>
      </c>
      <c r="E59" s="17">
        <f ca="1"/>
        <v>7571610.8467596686</v>
      </c>
      <c r="F59">
        <f ca="1"/>
        <v>342.61350097656197</v>
      </c>
      <c r="G59">
        <f ca="1"/>
        <v>0</v>
      </c>
      <c r="H59">
        <f ca="1"/>
        <v>0</v>
      </c>
      <c r="I59" t="str">
        <f ca="1"/>
        <v>MIN NO MERGE</v>
      </c>
      <c r="J59">
        <f ca="1"/>
        <v>8</v>
      </c>
      <c r="K59" t="str">
        <f ca="1"/>
        <v>R-14</v>
      </c>
      <c r="L59" t="str">
        <f ca="1"/>
        <v>R-14</v>
      </c>
      <c r="M59">
        <f ca="1"/>
        <v>0</v>
      </c>
      <c r="N59">
        <f ca="1"/>
        <v>4.1642579093552623E-2</v>
      </c>
      <c r="O59">
        <f ca="1"/>
        <v>4.1642579093552623E-2</v>
      </c>
      <c r="P59">
        <f ca="1"/>
        <v>-3.0999500744962405</v>
      </c>
      <c r="Q59">
        <f ca="1"/>
        <v>1.5707963267948966</v>
      </c>
      <c r="R59">
        <f ca="1"/>
        <v>692208.38501628197</v>
      </c>
      <c r="S59">
        <f ca="1"/>
        <v>7571615.6159548704</v>
      </c>
      <c r="T59">
        <f ca="1"/>
        <v>342.71350097656199</v>
      </c>
      <c r="U59">
        <f ca="1"/>
        <v>692208.38501628197</v>
      </c>
      <c r="V59">
        <f ca="1"/>
        <v>7571615.6159548704</v>
      </c>
      <c r="W59">
        <f ca="1"/>
        <v>342.71350097656199</v>
      </c>
      <c r="X59">
        <f ca="1"/>
        <v>692159.34616929898</v>
      </c>
      <c r="Y59">
        <f ca="1"/>
        <v>7571613.5726695796</v>
      </c>
      <c r="Z59">
        <f ca="1"/>
        <v>342.2919921875</v>
      </c>
      <c r="AA59">
        <f ca="1"/>
        <v>4</v>
      </c>
      <c r="AB59">
        <f ca="1"/>
        <v>1.5</v>
      </c>
      <c r="AC59">
        <f ca="1"/>
        <v>9.64</v>
      </c>
      <c r="AD59">
        <f ca="1"/>
        <v>1.6</v>
      </c>
      <c r="AE59">
        <f ca="1"/>
        <v>9.64</v>
      </c>
    </row>
    <row r="60" spans="1:31" x14ac:dyDescent="0.25">
      <c r="A60">
        <f ca="1"/>
        <v>59</v>
      </c>
      <c r="B60">
        <f ca="1"/>
        <v>2</v>
      </c>
      <c r="C60">
        <f ca="1"/>
        <v>14</v>
      </c>
      <c r="D60" s="17">
        <f ca="1"/>
        <v>692209.30338609847</v>
      </c>
      <c r="E60" s="17">
        <f ca="1"/>
        <v>7571620.4784024926</v>
      </c>
      <c r="F60">
        <f ca="1"/>
        <v>342.61350097656197</v>
      </c>
      <c r="G60">
        <f ca="1"/>
        <v>0</v>
      </c>
      <c r="H60">
        <f ca="1"/>
        <v>0</v>
      </c>
      <c r="I60" t="str">
        <f ca="1"/>
        <v>MIN NO MERGE</v>
      </c>
      <c r="J60">
        <f ca="1"/>
        <v>8</v>
      </c>
      <c r="K60" t="str">
        <f ca="1"/>
        <v>R-14</v>
      </c>
      <c r="L60" t="str">
        <f ca="1"/>
        <v>R-14</v>
      </c>
      <c r="M60">
        <f ca="1"/>
        <v>0</v>
      </c>
      <c r="N60">
        <f ca="1"/>
        <v>4.1642579093552623E-2</v>
      </c>
      <c r="O60">
        <f ca="1"/>
        <v>4.1642579093552623E-2</v>
      </c>
      <c r="P60">
        <f ca="1"/>
        <v>-3.0999500744962405</v>
      </c>
      <c r="Q60">
        <f ca="1"/>
        <v>1.5707963267948966</v>
      </c>
      <c r="R60">
        <f ca="1"/>
        <v>692208.38501628197</v>
      </c>
      <c r="S60">
        <f ca="1"/>
        <v>7571615.6159548704</v>
      </c>
      <c r="T60">
        <f ca="1"/>
        <v>342.71350097656199</v>
      </c>
      <c r="U60">
        <f ca="1"/>
        <v>692208.38501628197</v>
      </c>
      <c r="V60">
        <f ca="1"/>
        <v>7571615.6159548704</v>
      </c>
      <c r="W60">
        <f ca="1"/>
        <v>342.71350097656199</v>
      </c>
      <c r="X60">
        <f ca="1"/>
        <v>692159.34616929898</v>
      </c>
      <c r="Y60">
        <f ca="1"/>
        <v>7571613.5726695796</v>
      </c>
      <c r="Z60">
        <f ca="1"/>
        <v>342.2919921875</v>
      </c>
      <c r="AA60">
        <f ca="1"/>
        <v>4</v>
      </c>
      <c r="AB60">
        <f ca="1"/>
        <v>1.5</v>
      </c>
      <c r="AC60">
        <f ca="1"/>
        <v>9.64</v>
      </c>
      <c r="AD60">
        <f ca="1"/>
        <v>1.6</v>
      </c>
      <c r="AE60">
        <f ca="1"/>
        <v>9.64</v>
      </c>
    </row>
    <row r="61" spans="1:31" x14ac:dyDescent="0.25">
      <c r="A61">
        <f ca="1"/>
        <v>60</v>
      </c>
      <c r="B61">
        <f ca="1"/>
        <v>3</v>
      </c>
      <c r="C61">
        <f ca="1"/>
        <v>14</v>
      </c>
      <c r="D61" s="17">
        <f ca="1"/>
        <v>692207.70477318147</v>
      </c>
      <c r="E61" s="17">
        <f ca="1"/>
        <v>7571620.4117936213</v>
      </c>
      <c r="F61">
        <f ca="1"/>
        <v>342.61350097656197</v>
      </c>
      <c r="G61">
        <f ca="1"/>
        <v>0</v>
      </c>
      <c r="H61">
        <f ca="1"/>
        <v>0</v>
      </c>
      <c r="I61" t="str">
        <f ca="1"/>
        <v>MIN NO MERGE</v>
      </c>
      <c r="J61">
        <f ca="1"/>
        <v>8</v>
      </c>
      <c r="K61" t="str">
        <f ca="1"/>
        <v>R-14</v>
      </c>
      <c r="L61" t="str">
        <f ca="1"/>
        <v>R-14</v>
      </c>
      <c r="M61">
        <f ca="1"/>
        <v>0</v>
      </c>
      <c r="N61">
        <f ca="1"/>
        <v>4.1642579093552623E-2</v>
      </c>
      <c r="O61">
        <f ca="1"/>
        <v>4.1642579093552623E-2</v>
      </c>
      <c r="P61">
        <f ca="1"/>
        <v>-3.0999500744962405</v>
      </c>
      <c r="Q61">
        <f ca="1"/>
        <v>1.5707963267948966</v>
      </c>
      <c r="R61">
        <f ca="1"/>
        <v>692208.38501628197</v>
      </c>
      <c r="S61">
        <f ca="1"/>
        <v>7571615.6159548704</v>
      </c>
      <c r="T61">
        <f ca="1"/>
        <v>342.71350097656199</v>
      </c>
      <c r="U61">
        <f ca="1"/>
        <v>692208.38501628197</v>
      </c>
      <c r="V61">
        <f ca="1"/>
        <v>7571615.6159548704</v>
      </c>
      <c r="W61">
        <f ca="1"/>
        <v>342.71350097656199</v>
      </c>
      <c r="X61">
        <f ca="1"/>
        <v>692159.34616929898</v>
      </c>
      <c r="Y61">
        <f ca="1"/>
        <v>7571613.5726695796</v>
      </c>
      <c r="Z61">
        <f ca="1"/>
        <v>342.2919921875</v>
      </c>
      <c r="AA61">
        <f ca="1"/>
        <v>4</v>
      </c>
      <c r="AB61">
        <f ca="1"/>
        <v>1.5</v>
      </c>
      <c r="AC61">
        <f ca="1"/>
        <v>9.64</v>
      </c>
      <c r="AD61">
        <f ca="1"/>
        <v>1.6</v>
      </c>
      <c r="AE61">
        <f ca="1"/>
        <v>9.64</v>
      </c>
    </row>
    <row r="62" spans="1:31" x14ac:dyDescent="0.25">
      <c r="A62">
        <f ca="1"/>
        <v>61</v>
      </c>
      <c r="B62">
        <f ca="1"/>
        <v>0</v>
      </c>
      <c r="C62">
        <f ca="1"/>
        <v>15</v>
      </c>
      <c r="D62" s="17">
        <f ca="1"/>
        <v>692159.62509394856</v>
      </c>
      <c r="E62" s="17">
        <f ca="1"/>
        <v>7571618.4084736528</v>
      </c>
      <c r="F62">
        <f ca="1"/>
        <v>342.19199218749998</v>
      </c>
      <c r="G62">
        <f ca="1"/>
        <v>0</v>
      </c>
      <c r="H62">
        <f ca="1"/>
        <v>0</v>
      </c>
      <c r="I62" t="str">
        <f ca="1"/>
        <v>MIN NO MERGE</v>
      </c>
      <c r="J62">
        <f ca="1"/>
        <v>8</v>
      </c>
      <c r="K62" t="str">
        <f ca="1"/>
        <v>R-14</v>
      </c>
      <c r="L62" t="str">
        <f ca="1"/>
        <v>R-14</v>
      </c>
      <c r="M62">
        <f ca="1"/>
        <v>1</v>
      </c>
      <c r="N62">
        <f ca="1"/>
        <v>-3.0999500744962405</v>
      </c>
      <c r="O62">
        <f ca="1"/>
        <v>-3.0999500744962405</v>
      </c>
      <c r="P62">
        <f ca="1"/>
        <v>-3.0999500744962405</v>
      </c>
      <c r="Q62">
        <f ca="1"/>
        <v>1.5707963267948966</v>
      </c>
      <c r="R62">
        <f ca="1"/>
        <v>692159.34616929898</v>
      </c>
      <c r="S62">
        <f ca="1"/>
        <v>7571613.5726695796</v>
      </c>
      <c r="T62">
        <f ca="1"/>
        <v>342.2919921875</v>
      </c>
      <c r="U62">
        <f ca="1"/>
        <v>692208.38501628197</v>
      </c>
      <c r="V62">
        <f ca="1"/>
        <v>7571615.6159548704</v>
      </c>
      <c r="W62">
        <f ca="1"/>
        <v>342.71350097656199</v>
      </c>
      <c r="X62">
        <f ca="1"/>
        <v>692159.34616929898</v>
      </c>
      <c r="Y62">
        <f ca="1"/>
        <v>7571613.5726695796</v>
      </c>
      <c r="Z62">
        <f ca="1"/>
        <v>342.2919921875</v>
      </c>
      <c r="AA62">
        <f ca="1"/>
        <v>4</v>
      </c>
      <c r="AB62">
        <f ca="1"/>
        <v>1.5</v>
      </c>
      <c r="AC62">
        <f ca="1"/>
        <v>9.64</v>
      </c>
      <c r="AD62">
        <f ca="1"/>
        <v>1.6</v>
      </c>
      <c r="AE62">
        <f ca="1"/>
        <v>9.64</v>
      </c>
    </row>
    <row r="63" spans="1:31" x14ac:dyDescent="0.25">
      <c r="A63">
        <f ca="1"/>
        <v>62</v>
      </c>
      <c r="B63">
        <f ca="1"/>
        <v>1</v>
      </c>
      <c r="C63">
        <f ca="1"/>
        <v>15</v>
      </c>
      <c r="D63" s="17">
        <f ca="1"/>
        <v>692158.02648103156</v>
      </c>
      <c r="E63" s="17">
        <f ca="1"/>
        <v>7571618.3418647815</v>
      </c>
      <c r="F63">
        <f ca="1"/>
        <v>342.19199218749998</v>
      </c>
      <c r="G63">
        <f ca="1"/>
        <v>0</v>
      </c>
      <c r="H63">
        <f ca="1"/>
        <v>0</v>
      </c>
      <c r="I63" t="str">
        <f ca="1"/>
        <v>MIN NO MERGE</v>
      </c>
      <c r="J63">
        <f ca="1"/>
        <v>8</v>
      </c>
      <c r="K63" t="str">
        <f ca="1"/>
        <v>R-14</v>
      </c>
      <c r="L63" t="str">
        <f ca="1"/>
        <v>R-14</v>
      </c>
      <c r="M63">
        <f ca="1"/>
        <v>1</v>
      </c>
      <c r="N63">
        <f ca="1"/>
        <v>-3.0999500744962405</v>
      </c>
      <c r="O63">
        <f ca="1"/>
        <v>-3.0999500744962405</v>
      </c>
      <c r="P63">
        <f ca="1"/>
        <v>-3.0999500744962405</v>
      </c>
      <c r="Q63">
        <f ca="1"/>
        <v>1.5707963267948966</v>
      </c>
      <c r="R63">
        <f ca="1"/>
        <v>692159.34616929898</v>
      </c>
      <c r="S63">
        <f ca="1"/>
        <v>7571613.5726695796</v>
      </c>
      <c r="T63">
        <f ca="1"/>
        <v>342.2919921875</v>
      </c>
      <c r="U63">
        <f ca="1"/>
        <v>692208.38501628197</v>
      </c>
      <c r="V63">
        <f ca="1"/>
        <v>7571615.6159548704</v>
      </c>
      <c r="W63">
        <f ca="1"/>
        <v>342.71350097656199</v>
      </c>
      <c r="X63">
        <f ca="1"/>
        <v>692159.34616929898</v>
      </c>
      <c r="Y63">
        <f ca="1"/>
        <v>7571613.5726695796</v>
      </c>
      <c r="Z63">
        <f ca="1"/>
        <v>342.2919921875</v>
      </c>
      <c r="AA63">
        <f ca="1"/>
        <v>4</v>
      </c>
      <c r="AB63">
        <f ca="1"/>
        <v>1.5</v>
      </c>
      <c r="AC63">
        <f ca="1"/>
        <v>9.64</v>
      </c>
      <c r="AD63">
        <f ca="1"/>
        <v>1.6</v>
      </c>
      <c r="AE63">
        <f ca="1"/>
        <v>9.64</v>
      </c>
    </row>
    <row r="64" spans="1:31" x14ac:dyDescent="0.25">
      <c r="A64">
        <f ca="1"/>
        <v>63</v>
      </c>
      <c r="B64">
        <f ca="1"/>
        <v>2</v>
      </c>
      <c r="C64">
        <f ca="1"/>
        <v>15</v>
      </c>
      <c r="D64" s="17">
        <f ca="1"/>
        <v>692158.42779948248</v>
      </c>
      <c r="E64" s="17">
        <f ca="1"/>
        <v>7571608.7102219574</v>
      </c>
      <c r="F64">
        <f ca="1"/>
        <v>342.19199218749998</v>
      </c>
      <c r="G64">
        <f ca="1"/>
        <v>0</v>
      </c>
      <c r="H64">
        <f ca="1"/>
        <v>0</v>
      </c>
      <c r="I64" t="str">
        <f ca="1"/>
        <v>MIN NO MERGE</v>
      </c>
      <c r="J64">
        <f ca="1"/>
        <v>8</v>
      </c>
      <c r="K64" t="str">
        <f ca="1"/>
        <v>R-14</v>
      </c>
      <c r="L64" t="str">
        <f ca="1"/>
        <v>R-14</v>
      </c>
      <c r="M64">
        <f ca="1"/>
        <v>1</v>
      </c>
      <c r="N64">
        <f ca="1"/>
        <v>-3.0999500744962405</v>
      </c>
      <c r="O64">
        <f ca="1"/>
        <v>-3.0999500744962405</v>
      </c>
      <c r="P64">
        <f ca="1"/>
        <v>-3.0999500744962405</v>
      </c>
      <c r="Q64">
        <f ca="1"/>
        <v>1.5707963267948966</v>
      </c>
      <c r="R64">
        <f ca="1"/>
        <v>692159.34616929898</v>
      </c>
      <c r="S64">
        <f ca="1"/>
        <v>7571613.5726695796</v>
      </c>
      <c r="T64">
        <f ca="1"/>
        <v>342.2919921875</v>
      </c>
      <c r="U64">
        <f ca="1"/>
        <v>692208.38501628197</v>
      </c>
      <c r="V64">
        <f ca="1"/>
        <v>7571615.6159548704</v>
      </c>
      <c r="W64">
        <f ca="1"/>
        <v>342.71350097656199</v>
      </c>
      <c r="X64">
        <f ca="1"/>
        <v>692159.34616929898</v>
      </c>
      <c r="Y64">
        <f ca="1"/>
        <v>7571613.5726695796</v>
      </c>
      <c r="Z64">
        <f ca="1"/>
        <v>342.2919921875</v>
      </c>
      <c r="AA64">
        <f ca="1"/>
        <v>4</v>
      </c>
      <c r="AB64">
        <f ca="1"/>
        <v>1.5</v>
      </c>
      <c r="AC64">
        <f ca="1"/>
        <v>9.64</v>
      </c>
      <c r="AD64">
        <f ca="1"/>
        <v>1.6</v>
      </c>
      <c r="AE64">
        <f ca="1"/>
        <v>9.64</v>
      </c>
    </row>
    <row r="65" spans="1:31" x14ac:dyDescent="0.25">
      <c r="A65">
        <f ca="1"/>
        <v>64</v>
      </c>
      <c r="B65">
        <f ca="1"/>
        <v>3</v>
      </c>
      <c r="C65">
        <f ca="1"/>
        <v>15</v>
      </c>
      <c r="D65" s="17">
        <f ca="1"/>
        <v>692160.02641239949</v>
      </c>
      <c r="E65" s="17">
        <f ca="1"/>
        <v>7571608.7768308287</v>
      </c>
      <c r="F65">
        <f ca="1"/>
        <v>342.19199218749998</v>
      </c>
      <c r="G65">
        <f ca="1"/>
        <v>0</v>
      </c>
      <c r="H65">
        <f ca="1"/>
        <v>0</v>
      </c>
      <c r="I65" t="str">
        <f ca="1"/>
        <v>MIN NO MERGE</v>
      </c>
      <c r="J65">
        <f ca="1"/>
        <v>8</v>
      </c>
      <c r="K65" t="str">
        <f ca="1"/>
        <v>R-14</v>
      </c>
      <c r="L65" t="str">
        <f ca="1"/>
        <v>R-14</v>
      </c>
      <c r="M65">
        <f ca="1"/>
        <v>1</v>
      </c>
      <c r="N65">
        <f ca="1"/>
        <v>-3.0999500744962405</v>
      </c>
      <c r="O65">
        <f ca="1"/>
        <v>-3.0999500744962405</v>
      </c>
      <c r="P65">
        <f ca="1"/>
        <v>-3.0999500744962405</v>
      </c>
      <c r="Q65">
        <f ca="1"/>
        <v>1.5707963267948966</v>
      </c>
      <c r="R65">
        <f ca="1"/>
        <v>692159.34616929898</v>
      </c>
      <c r="S65">
        <f ca="1"/>
        <v>7571613.5726695796</v>
      </c>
      <c r="T65">
        <f ca="1"/>
        <v>342.2919921875</v>
      </c>
      <c r="U65">
        <f ca="1"/>
        <v>692208.38501628197</v>
      </c>
      <c r="V65">
        <f ca="1"/>
        <v>7571615.6159548704</v>
      </c>
      <c r="W65">
        <f ca="1"/>
        <v>342.71350097656199</v>
      </c>
      <c r="X65">
        <f ca="1"/>
        <v>692159.34616929898</v>
      </c>
      <c r="Y65">
        <f ca="1"/>
        <v>7571613.5726695796</v>
      </c>
      <c r="Z65">
        <f ca="1"/>
        <v>342.2919921875</v>
      </c>
      <c r="AA65">
        <f ca="1"/>
        <v>4</v>
      </c>
      <c r="AB65">
        <f ca="1"/>
        <v>1.5</v>
      </c>
      <c r="AC65">
        <f ca="1"/>
        <v>9.64</v>
      </c>
      <c r="AD65">
        <f ca="1"/>
        <v>1.6</v>
      </c>
      <c r="AE65">
        <f ca="1"/>
        <v>9.64</v>
      </c>
    </row>
    <row r="66" spans="1:31" x14ac:dyDescent="0.25">
      <c r="A66">
        <f ca="1"/>
        <v>65</v>
      </c>
      <c r="B66">
        <f ca="1"/>
        <v>0</v>
      </c>
      <c r="C66">
        <f ca="1"/>
        <v>16</v>
      </c>
      <c r="D66" s="17">
        <f ca="1"/>
        <v>692188.43058980082</v>
      </c>
      <c r="E66" s="17">
        <f ca="1"/>
        <v>7571442.8568184935</v>
      </c>
      <c r="F66">
        <f ca="1"/>
        <v>346.46299999999997</v>
      </c>
      <c r="G66">
        <f ca="1"/>
        <v>0</v>
      </c>
      <c r="H66">
        <f ca="1"/>
        <v>0</v>
      </c>
      <c r="I66" t="str">
        <f ca="1"/>
        <v>MIN NO MERGE</v>
      </c>
      <c r="J66">
        <f ca="1"/>
        <v>9</v>
      </c>
      <c r="K66" t="str">
        <f ca="1"/>
        <v>R-14b</v>
      </c>
      <c r="L66" t="str">
        <f ca="1"/>
        <v>R-14b</v>
      </c>
      <c r="M66">
        <f ca="1"/>
        <v>0</v>
      </c>
      <c r="N66">
        <f ca="1"/>
        <v>-0.57191819984799608</v>
      </c>
      <c r="O66">
        <f ca="1"/>
        <v>-0.57191819984799608</v>
      </c>
      <c r="P66">
        <f ca="1"/>
        <v>2.569674453741797</v>
      </c>
      <c r="Q66">
        <f ca="1"/>
        <v>1.5707963267948966</v>
      </c>
      <c r="R66">
        <f ca="1"/>
        <v>692189.49452477403</v>
      </c>
      <c r="S66">
        <f ca="1"/>
        <v>7571443.62287487</v>
      </c>
      <c r="T66">
        <f ca="1"/>
        <v>346.56299999999999</v>
      </c>
      <c r="U66">
        <f ca="1"/>
        <v>692189.49452477403</v>
      </c>
      <c r="V66">
        <f ca="1"/>
        <v>7571443.62287487</v>
      </c>
      <c r="W66">
        <f ca="1"/>
        <v>346.56299999999999</v>
      </c>
      <c r="X66">
        <f ca="1"/>
        <v>692159.25583927496</v>
      </c>
      <c r="Y66">
        <f ca="1"/>
        <v>7571463.0868563401</v>
      </c>
      <c r="Z66">
        <f ca="1"/>
        <v>345.32499999999999</v>
      </c>
      <c r="AA66">
        <f ca="1"/>
        <v>1</v>
      </c>
      <c r="AB66">
        <f ca="1"/>
        <v>0.9</v>
      </c>
      <c r="AC66">
        <f ca="1"/>
        <v>2.44</v>
      </c>
      <c r="AD66">
        <f ca="1"/>
        <v>1.6</v>
      </c>
      <c r="AE66">
        <f ca="1"/>
        <v>2.44</v>
      </c>
    </row>
    <row r="67" spans="1:31" x14ac:dyDescent="0.25">
      <c r="A67">
        <f ca="1"/>
        <v>66</v>
      </c>
      <c r="B67">
        <f ca="1"/>
        <v>1</v>
      </c>
      <c r="C67">
        <f ca="1"/>
        <v>16</v>
      </c>
      <c r="D67" s="17">
        <f ca="1"/>
        <v>692189.77597268845</v>
      </c>
      <c r="E67" s="17">
        <f ca="1"/>
        <v>7571441.9908249108</v>
      </c>
      <c r="F67">
        <f ca="1"/>
        <v>346.46299999999997</v>
      </c>
      <c r="G67">
        <f ca="1"/>
        <v>0</v>
      </c>
      <c r="H67">
        <f ca="1"/>
        <v>0</v>
      </c>
      <c r="I67" t="str">
        <f ca="1"/>
        <v>MIN NO MERGE</v>
      </c>
      <c r="J67">
        <f ca="1"/>
        <v>9</v>
      </c>
      <c r="K67" t="str">
        <f ca="1"/>
        <v>R-14b</v>
      </c>
      <c r="L67" t="str">
        <f ca="1"/>
        <v>R-14b</v>
      </c>
      <c r="M67">
        <f ca="1"/>
        <v>0</v>
      </c>
      <c r="N67">
        <f ca="1"/>
        <v>-0.57191819984799608</v>
      </c>
      <c r="O67">
        <f ca="1"/>
        <v>-0.57191819984799608</v>
      </c>
      <c r="P67">
        <f ca="1"/>
        <v>2.569674453741797</v>
      </c>
      <c r="Q67">
        <f ca="1"/>
        <v>1.5707963267948966</v>
      </c>
      <c r="R67">
        <f ca="1"/>
        <v>692189.49452477403</v>
      </c>
      <c r="S67">
        <f ca="1"/>
        <v>7571443.62287487</v>
      </c>
      <c r="T67">
        <f ca="1"/>
        <v>346.56299999999999</v>
      </c>
      <c r="U67">
        <f ca="1"/>
        <v>692189.49452477403</v>
      </c>
      <c r="V67">
        <f ca="1"/>
        <v>7571443.62287487</v>
      </c>
      <c r="W67">
        <f ca="1"/>
        <v>346.56299999999999</v>
      </c>
      <c r="X67">
        <f ca="1"/>
        <v>692159.25583927496</v>
      </c>
      <c r="Y67">
        <f ca="1"/>
        <v>7571463.0868563401</v>
      </c>
      <c r="Z67">
        <f ca="1"/>
        <v>345.32499999999999</v>
      </c>
      <c r="AA67">
        <f ca="1"/>
        <v>1</v>
      </c>
      <c r="AB67">
        <f ca="1"/>
        <v>0.9</v>
      </c>
      <c r="AC67">
        <f ca="1"/>
        <v>2.44</v>
      </c>
      <c r="AD67">
        <f ca="1"/>
        <v>1.6</v>
      </c>
      <c r="AE67">
        <f ca="1"/>
        <v>2.44</v>
      </c>
    </row>
    <row r="68" spans="1:31" x14ac:dyDescent="0.25">
      <c r="A68">
        <f ca="1"/>
        <v>67</v>
      </c>
      <c r="B68">
        <f ca="1"/>
        <v>2</v>
      </c>
      <c r="C68">
        <f ca="1"/>
        <v>16</v>
      </c>
      <c r="D68" s="17">
        <f ca="1"/>
        <v>692191.09661290224</v>
      </c>
      <c r="E68" s="17">
        <f ca="1"/>
        <v>7571444.042533814</v>
      </c>
      <c r="F68">
        <f ca="1"/>
        <v>346.46299999999997</v>
      </c>
      <c r="G68">
        <f ca="1"/>
        <v>0</v>
      </c>
      <c r="H68">
        <f ca="1"/>
        <v>0</v>
      </c>
      <c r="I68" t="str">
        <f ca="1"/>
        <v>MIN NO MERGE</v>
      </c>
      <c r="J68">
        <f ca="1"/>
        <v>9</v>
      </c>
      <c r="K68" t="str">
        <f ca="1"/>
        <v>R-14b</v>
      </c>
      <c r="L68" t="str">
        <f ca="1"/>
        <v>R-14b</v>
      </c>
      <c r="M68">
        <f ca="1"/>
        <v>0</v>
      </c>
      <c r="N68">
        <f ca="1"/>
        <v>-0.57191819984799608</v>
      </c>
      <c r="O68">
        <f ca="1"/>
        <v>-0.57191819984799608</v>
      </c>
      <c r="P68">
        <f ca="1"/>
        <v>2.569674453741797</v>
      </c>
      <c r="Q68">
        <f ca="1"/>
        <v>1.5707963267948966</v>
      </c>
      <c r="R68">
        <f ca="1"/>
        <v>692189.49452477403</v>
      </c>
      <c r="S68">
        <f ca="1"/>
        <v>7571443.62287487</v>
      </c>
      <c r="T68">
        <f ca="1"/>
        <v>346.56299999999999</v>
      </c>
      <c r="U68">
        <f ca="1"/>
        <v>692189.49452477403</v>
      </c>
      <c r="V68">
        <f ca="1"/>
        <v>7571443.62287487</v>
      </c>
      <c r="W68">
        <f ca="1"/>
        <v>346.56299999999999</v>
      </c>
      <c r="X68">
        <f ca="1"/>
        <v>692159.25583927496</v>
      </c>
      <c r="Y68">
        <f ca="1"/>
        <v>7571463.0868563401</v>
      </c>
      <c r="Z68">
        <f ca="1"/>
        <v>345.32499999999999</v>
      </c>
      <c r="AA68">
        <f ca="1"/>
        <v>1</v>
      </c>
      <c r="AB68">
        <f ca="1"/>
        <v>0.9</v>
      </c>
      <c r="AC68">
        <f ca="1"/>
        <v>2.44</v>
      </c>
      <c r="AD68">
        <f ca="1"/>
        <v>1.6</v>
      </c>
      <c r="AE68">
        <f ca="1"/>
        <v>2.44</v>
      </c>
    </row>
    <row r="69" spans="1:31" x14ac:dyDescent="0.25">
      <c r="A69">
        <f ca="1"/>
        <v>68</v>
      </c>
      <c r="B69">
        <f ca="1"/>
        <v>3</v>
      </c>
      <c r="C69">
        <f ca="1"/>
        <v>16</v>
      </c>
      <c r="D69" s="17">
        <f ca="1"/>
        <v>692189.7512300146</v>
      </c>
      <c r="E69" s="17">
        <f ca="1"/>
        <v>7571444.9085273966</v>
      </c>
      <c r="F69">
        <f ca="1"/>
        <v>346.46299999999997</v>
      </c>
      <c r="G69">
        <f ca="1"/>
        <v>0</v>
      </c>
      <c r="H69">
        <f ca="1"/>
        <v>0</v>
      </c>
      <c r="I69" t="str">
        <f ca="1"/>
        <v>MIN NO MERGE</v>
      </c>
      <c r="J69">
        <f ca="1"/>
        <v>9</v>
      </c>
      <c r="K69" t="str">
        <f ca="1"/>
        <v>R-14b</v>
      </c>
      <c r="L69" t="str">
        <f ca="1"/>
        <v>R-14b</v>
      </c>
      <c r="M69">
        <f ca="1"/>
        <v>0</v>
      </c>
      <c r="N69">
        <f ca="1"/>
        <v>-0.57191819984799608</v>
      </c>
      <c r="O69">
        <f ca="1"/>
        <v>-0.57191819984799608</v>
      </c>
      <c r="P69">
        <f ca="1"/>
        <v>2.569674453741797</v>
      </c>
      <c r="Q69">
        <f ca="1"/>
        <v>1.5707963267948966</v>
      </c>
      <c r="R69">
        <f ca="1"/>
        <v>692189.49452477403</v>
      </c>
      <c r="S69">
        <f ca="1"/>
        <v>7571443.62287487</v>
      </c>
      <c r="T69">
        <f ca="1"/>
        <v>346.56299999999999</v>
      </c>
      <c r="U69">
        <f ca="1"/>
        <v>692189.49452477403</v>
      </c>
      <c r="V69">
        <f ca="1"/>
        <v>7571443.62287487</v>
      </c>
      <c r="W69">
        <f ca="1"/>
        <v>346.56299999999999</v>
      </c>
      <c r="X69">
        <f ca="1"/>
        <v>692159.25583927496</v>
      </c>
      <c r="Y69">
        <f ca="1"/>
        <v>7571463.0868563401</v>
      </c>
      <c r="Z69">
        <f ca="1"/>
        <v>345.32499999999999</v>
      </c>
      <c r="AA69">
        <f ca="1"/>
        <v>1</v>
      </c>
      <c r="AB69">
        <f ca="1"/>
        <v>0.9</v>
      </c>
      <c r="AC69">
        <f ca="1"/>
        <v>2.44</v>
      </c>
      <c r="AD69">
        <f ca="1"/>
        <v>1.6</v>
      </c>
      <c r="AE69">
        <f ca="1"/>
        <v>2.44</v>
      </c>
    </row>
    <row r="70" spans="1:31" x14ac:dyDescent="0.25">
      <c r="A70">
        <f ca="1"/>
        <v>69</v>
      </c>
      <c r="B70">
        <f ca="1"/>
        <v>0</v>
      </c>
      <c r="C70">
        <f ca="1"/>
        <v>17</v>
      </c>
      <c r="D70" s="17">
        <f ca="1"/>
        <v>692160.31977424817</v>
      </c>
      <c r="E70" s="17">
        <f ca="1"/>
        <v>7571463.8529127166</v>
      </c>
      <c r="F70">
        <f ca="1"/>
        <v>345.22499999999997</v>
      </c>
      <c r="G70">
        <f ca="1"/>
        <v>0</v>
      </c>
      <c r="H70">
        <f ca="1"/>
        <v>0</v>
      </c>
      <c r="I70" t="str">
        <f ca="1"/>
        <v>MIN NO MERGE</v>
      </c>
      <c r="J70">
        <f ca="1"/>
        <v>9</v>
      </c>
      <c r="K70" t="str">
        <f ca="1"/>
        <v>R-14b</v>
      </c>
      <c r="L70" t="str">
        <f ca="1"/>
        <v>R-14b</v>
      </c>
      <c r="M70">
        <f ca="1"/>
        <v>1</v>
      </c>
      <c r="N70">
        <f ca="1"/>
        <v>2.569674453741797</v>
      </c>
      <c r="O70">
        <f ca="1"/>
        <v>2.569674453741797</v>
      </c>
      <c r="P70">
        <f ca="1"/>
        <v>2.569674453741797</v>
      </c>
      <c r="Q70">
        <f ca="1"/>
        <v>1.5707963267948966</v>
      </c>
      <c r="R70">
        <f ca="1"/>
        <v>692159.25583927496</v>
      </c>
      <c r="S70">
        <f ca="1"/>
        <v>7571463.0868563401</v>
      </c>
      <c r="T70">
        <f ca="1"/>
        <v>345.32499999999999</v>
      </c>
      <c r="U70">
        <f ca="1"/>
        <v>692189.49452477403</v>
      </c>
      <c r="V70">
        <f ca="1"/>
        <v>7571443.62287487</v>
      </c>
      <c r="W70">
        <f ca="1"/>
        <v>346.56299999999999</v>
      </c>
      <c r="X70">
        <f ca="1"/>
        <v>692159.25583927496</v>
      </c>
      <c r="Y70">
        <f ca="1"/>
        <v>7571463.0868563401</v>
      </c>
      <c r="Z70">
        <f ca="1"/>
        <v>345.32499999999999</v>
      </c>
      <c r="AA70">
        <f ca="1"/>
        <v>1</v>
      </c>
      <c r="AB70">
        <f ca="1"/>
        <v>0.9</v>
      </c>
      <c r="AC70">
        <f ca="1"/>
        <v>2.44</v>
      </c>
      <c r="AD70">
        <f ca="1"/>
        <v>1.6</v>
      </c>
      <c r="AE70">
        <f ca="1"/>
        <v>2.44</v>
      </c>
    </row>
    <row r="71" spans="1:31" x14ac:dyDescent="0.25">
      <c r="A71">
        <f ca="1"/>
        <v>70</v>
      </c>
      <c r="B71">
        <f ca="1"/>
        <v>1</v>
      </c>
      <c r="C71">
        <f ca="1"/>
        <v>17</v>
      </c>
      <c r="D71" s="17">
        <f ca="1"/>
        <v>692158.97439136053</v>
      </c>
      <c r="E71" s="17">
        <f ca="1"/>
        <v>7571464.7189062992</v>
      </c>
      <c r="F71">
        <f ca="1"/>
        <v>345.22499999999997</v>
      </c>
      <c r="G71">
        <f ca="1"/>
        <v>0</v>
      </c>
      <c r="H71">
        <f ca="1"/>
        <v>0</v>
      </c>
      <c r="I71" t="str">
        <f ca="1"/>
        <v>MIN NO MERGE</v>
      </c>
      <c r="J71">
        <f ca="1"/>
        <v>9</v>
      </c>
      <c r="K71" t="str">
        <f ca="1"/>
        <v>R-14b</v>
      </c>
      <c r="L71" t="str">
        <f ca="1"/>
        <v>R-14b</v>
      </c>
      <c r="M71">
        <f ca="1"/>
        <v>1</v>
      </c>
      <c r="N71">
        <f ca="1"/>
        <v>2.569674453741797</v>
      </c>
      <c r="O71">
        <f ca="1"/>
        <v>2.569674453741797</v>
      </c>
      <c r="P71">
        <f ca="1"/>
        <v>2.569674453741797</v>
      </c>
      <c r="Q71">
        <f ca="1"/>
        <v>1.5707963267948966</v>
      </c>
      <c r="R71">
        <f ca="1"/>
        <v>692159.25583927496</v>
      </c>
      <c r="S71">
        <f ca="1"/>
        <v>7571463.0868563401</v>
      </c>
      <c r="T71">
        <f ca="1"/>
        <v>345.32499999999999</v>
      </c>
      <c r="U71">
        <f ca="1"/>
        <v>692189.49452477403</v>
      </c>
      <c r="V71">
        <f ca="1"/>
        <v>7571443.62287487</v>
      </c>
      <c r="W71">
        <f ca="1"/>
        <v>346.56299999999999</v>
      </c>
      <c r="X71">
        <f ca="1"/>
        <v>692159.25583927496</v>
      </c>
      <c r="Y71">
        <f ca="1"/>
        <v>7571463.0868563401</v>
      </c>
      <c r="Z71">
        <f ca="1"/>
        <v>345.32499999999999</v>
      </c>
      <c r="AA71">
        <f ca="1"/>
        <v>1</v>
      </c>
      <c r="AB71">
        <f ca="1"/>
        <v>0.9</v>
      </c>
      <c r="AC71">
        <f ca="1"/>
        <v>2.44</v>
      </c>
      <c r="AD71">
        <f ca="1"/>
        <v>1.6</v>
      </c>
      <c r="AE71">
        <f ca="1"/>
        <v>2.44</v>
      </c>
    </row>
    <row r="72" spans="1:31" x14ac:dyDescent="0.25">
      <c r="A72">
        <f ca="1"/>
        <v>71</v>
      </c>
      <c r="B72">
        <f ca="1"/>
        <v>2</v>
      </c>
      <c r="C72">
        <f ca="1"/>
        <v>17</v>
      </c>
      <c r="D72" s="17">
        <f ca="1"/>
        <v>692157.65375114675</v>
      </c>
      <c r="E72" s="17">
        <f ca="1"/>
        <v>7571462.667197396</v>
      </c>
      <c r="F72">
        <f ca="1"/>
        <v>345.22499999999997</v>
      </c>
      <c r="G72">
        <f ca="1"/>
        <v>0</v>
      </c>
      <c r="H72">
        <f ca="1"/>
        <v>0</v>
      </c>
      <c r="I72" t="str">
        <f ca="1"/>
        <v>MIN NO MERGE</v>
      </c>
      <c r="J72">
        <f ca="1"/>
        <v>9</v>
      </c>
      <c r="K72" t="str">
        <f ca="1"/>
        <v>R-14b</v>
      </c>
      <c r="L72" t="str">
        <f ca="1"/>
        <v>R-14b</v>
      </c>
      <c r="M72">
        <f ca="1"/>
        <v>1</v>
      </c>
      <c r="N72">
        <f ca="1"/>
        <v>2.569674453741797</v>
      </c>
      <c r="O72">
        <f ca="1"/>
        <v>2.569674453741797</v>
      </c>
      <c r="P72">
        <f ca="1"/>
        <v>2.569674453741797</v>
      </c>
      <c r="Q72">
        <f ca="1"/>
        <v>1.5707963267948966</v>
      </c>
      <c r="R72">
        <f ca="1"/>
        <v>692159.25583927496</v>
      </c>
      <c r="S72">
        <f ca="1"/>
        <v>7571463.0868563401</v>
      </c>
      <c r="T72">
        <f ca="1"/>
        <v>345.32499999999999</v>
      </c>
      <c r="U72">
        <f ca="1"/>
        <v>692189.49452477403</v>
      </c>
      <c r="V72">
        <f ca="1"/>
        <v>7571443.62287487</v>
      </c>
      <c r="W72">
        <f ca="1"/>
        <v>346.56299999999999</v>
      </c>
      <c r="X72">
        <f ca="1"/>
        <v>692159.25583927496</v>
      </c>
      <c r="Y72">
        <f ca="1"/>
        <v>7571463.0868563401</v>
      </c>
      <c r="Z72">
        <f ca="1"/>
        <v>345.32499999999999</v>
      </c>
      <c r="AA72">
        <f ca="1"/>
        <v>1</v>
      </c>
      <c r="AB72">
        <f ca="1"/>
        <v>0.9</v>
      </c>
      <c r="AC72">
        <f ca="1"/>
        <v>2.44</v>
      </c>
      <c r="AD72">
        <f ca="1"/>
        <v>1.6</v>
      </c>
      <c r="AE72">
        <f ca="1"/>
        <v>2.44</v>
      </c>
    </row>
    <row r="73" spans="1:31" x14ac:dyDescent="0.25">
      <c r="A73">
        <f ca="1"/>
        <v>72</v>
      </c>
      <c r="B73">
        <f ca="1"/>
        <v>3</v>
      </c>
      <c r="C73">
        <f ca="1"/>
        <v>17</v>
      </c>
      <c r="D73" s="17">
        <f ca="1"/>
        <v>692158.99913403438</v>
      </c>
      <c r="E73" s="17">
        <f ca="1"/>
        <v>7571461.8012038134</v>
      </c>
      <c r="F73">
        <f ca="1"/>
        <v>345.22499999999997</v>
      </c>
      <c r="G73">
        <f ca="1"/>
        <v>0</v>
      </c>
      <c r="H73">
        <f ca="1"/>
        <v>0</v>
      </c>
      <c r="I73" t="str">
        <f ca="1"/>
        <v>MIN NO MERGE</v>
      </c>
      <c r="J73">
        <f ca="1"/>
        <v>9</v>
      </c>
      <c r="K73" t="str">
        <f ca="1"/>
        <v>R-14b</v>
      </c>
      <c r="L73" t="str">
        <f ca="1"/>
        <v>R-14b</v>
      </c>
      <c r="M73">
        <f ca="1"/>
        <v>1</v>
      </c>
      <c r="N73">
        <f ca="1"/>
        <v>2.569674453741797</v>
      </c>
      <c r="O73">
        <f ca="1"/>
        <v>2.569674453741797</v>
      </c>
      <c r="P73">
        <f ca="1"/>
        <v>2.569674453741797</v>
      </c>
      <c r="Q73">
        <f ca="1"/>
        <v>1.5707963267948966</v>
      </c>
      <c r="R73">
        <f ca="1"/>
        <v>692159.25583927496</v>
      </c>
      <c r="S73">
        <f ca="1"/>
        <v>7571463.0868563401</v>
      </c>
      <c r="T73">
        <f ca="1"/>
        <v>345.32499999999999</v>
      </c>
      <c r="U73">
        <f ca="1"/>
        <v>692189.49452477403</v>
      </c>
      <c r="V73">
        <f ca="1"/>
        <v>7571443.62287487</v>
      </c>
      <c r="W73">
        <f ca="1"/>
        <v>346.56299999999999</v>
      </c>
      <c r="X73">
        <f ca="1"/>
        <v>692159.25583927496</v>
      </c>
      <c r="Y73">
        <f ca="1"/>
        <v>7571463.0868563401</v>
      </c>
      <c r="Z73">
        <f ca="1"/>
        <v>345.32499999999999</v>
      </c>
      <c r="AA73">
        <f ca="1"/>
        <v>1</v>
      </c>
      <c r="AB73">
        <f ca="1"/>
        <v>0.9</v>
      </c>
      <c r="AC73">
        <f ca="1"/>
        <v>2.44</v>
      </c>
      <c r="AD73">
        <f ca="1"/>
        <v>1.6</v>
      </c>
      <c r="AE73">
        <f ca="1"/>
        <v>2.44</v>
      </c>
    </row>
    <row r="74" spans="1:31" x14ac:dyDescent="0.25">
      <c r="A74">
        <f ca="1"/>
        <v>73</v>
      </c>
      <c r="B74">
        <f ca="1"/>
        <v>0</v>
      </c>
      <c r="C74">
        <f ca="1"/>
        <v>18</v>
      </c>
      <c r="D74" s="17">
        <f ca="1"/>
        <v>692206.0728238814</v>
      </c>
      <c r="E74" s="17">
        <f ca="1"/>
        <v>7571760.5961526698</v>
      </c>
      <c r="F74">
        <f ca="1"/>
        <v>344.875067138671</v>
      </c>
      <c r="G74">
        <f ca="1"/>
        <v>0</v>
      </c>
      <c r="H74">
        <f ca="1"/>
        <v>0</v>
      </c>
      <c r="I74" t="str">
        <f ca="1"/>
        <v>MIN NO MERGE</v>
      </c>
      <c r="J74">
        <f ca="1"/>
        <v>10</v>
      </c>
      <c r="K74" t="str">
        <f ca="1"/>
        <v>R-15</v>
      </c>
      <c r="L74" t="str">
        <f ca="1"/>
        <v>R-15</v>
      </c>
      <c r="M74">
        <f ca="1"/>
        <v>0</v>
      </c>
      <c r="N74">
        <f ca="1"/>
        <v>-0.3587706701741542</v>
      </c>
      <c r="O74">
        <f ca="1"/>
        <v>-0.3587706701741542</v>
      </c>
      <c r="P74">
        <f ca="1"/>
        <v>2.7828219834156389</v>
      </c>
      <c r="Q74">
        <f ca="1"/>
        <v>1.5707963267948966</v>
      </c>
      <c r="R74">
        <f ca="1"/>
        <v>692207.45625024103</v>
      </c>
      <c r="S74">
        <f ca="1"/>
        <v>7571762.9182490297</v>
      </c>
      <c r="T74">
        <f ca="1"/>
        <v>344.97506713867102</v>
      </c>
      <c r="U74">
        <f ca="1"/>
        <v>692207.45625024103</v>
      </c>
      <c r="V74">
        <f ca="1"/>
        <v>7571762.9182490297</v>
      </c>
      <c r="W74">
        <f ca="1"/>
        <v>344.97506713867102</v>
      </c>
      <c r="X74">
        <f ca="1"/>
        <v>692168.81958292099</v>
      </c>
      <c r="Y74">
        <f ca="1"/>
        <v>7571777.4069992704</v>
      </c>
      <c r="Z74">
        <f ca="1"/>
        <v>344.48989868164</v>
      </c>
      <c r="AA74">
        <f ca="1"/>
        <v>2</v>
      </c>
      <c r="AB74">
        <f ca="1"/>
        <v>1.5</v>
      </c>
      <c r="AC74">
        <f ca="1"/>
        <v>5.32</v>
      </c>
      <c r="AD74">
        <f ca="1"/>
        <v>1.6</v>
      </c>
      <c r="AE74">
        <f ca="1"/>
        <v>5.32</v>
      </c>
    </row>
    <row r="75" spans="1:31" x14ac:dyDescent="0.25">
      <c r="A75">
        <f ca="1"/>
        <v>74</v>
      </c>
      <c r="B75">
        <f ca="1"/>
        <v>1</v>
      </c>
      <c r="C75">
        <f ca="1"/>
        <v>18</v>
      </c>
      <c r="D75" s="17">
        <f ca="1"/>
        <v>692207.57095056563</v>
      </c>
      <c r="E75" s="17">
        <f ca="1"/>
        <v>7571760.0343551636</v>
      </c>
      <c r="F75">
        <f ca="1"/>
        <v>344.875067138671</v>
      </c>
      <c r="G75">
        <f ca="1"/>
        <v>0</v>
      </c>
      <c r="H75">
        <f ca="1"/>
        <v>0</v>
      </c>
      <c r="I75" t="str">
        <f ca="1"/>
        <v>MIN NO MERGE</v>
      </c>
      <c r="J75">
        <f ca="1"/>
        <v>10</v>
      </c>
      <c r="K75" t="str">
        <f ca="1"/>
        <v>R-15</v>
      </c>
      <c r="L75" t="str">
        <f ca="1"/>
        <v>R-15</v>
      </c>
      <c r="M75">
        <f ca="1"/>
        <v>0</v>
      </c>
      <c r="N75">
        <f ca="1"/>
        <v>-0.3587706701741542</v>
      </c>
      <c r="O75">
        <f ca="1"/>
        <v>-0.3587706701741542</v>
      </c>
      <c r="P75">
        <f ca="1"/>
        <v>2.7828219834156389</v>
      </c>
      <c r="Q75">
        <f ca="1"/>
        <v>1.5707963267948966</v>
      </c>
      <c r="R75">
        <f ca="1"/>
        <v>692207.45625024103</v>
      </c>
      <c r="S75">
        <f ca="1"/>
        <v>7571762.9182490297</v>
      </c>
      <c r="T75">
        <f ca="1"/>
        <v>344.97506713867102</v>
      </c>
      <c r="U75">
        <f ca="1"/>
        <v>692207.45625024103</v>
      </c>
      <c r="V75">
        <f ca="1"/>
        <v>7571762.9182490297</v>
      </c>
      <c r="W75">
        <f ca="1"/>
        <v>344.97506713867102</v>
      </c>
      <c r="X75">
        <f ca="1"/>
        <v>692168.81958292099</v>
      </c>
      <c r="Y75">
        <f ca="1"/>
        <v>7571777.4069992704</v>
      </c>
      <c r="Z75">
        <f ca="1"/>
        <v>344.48989868164</v>
      </c>
      <c r="AA75">
        <f ca="1"/>
        <v>2</v>
      </c>
      <c r="AB75">
        <f ca="1"/>
        <v>1.5</v>
      </c>
      <c r="AC75">
        <f ca="1"/>
        <v>5.32</v>
      </c>
      <c r="AD75">
        <f ca="1"/>
        <v>1.6</v>
      </c>
      <c r="AE75">
        <f ca="1"/>
        <v>5.32</v>
      </c>
    </row>
    <row r="76" spans="1:31" x14ac:dyDescent="0.25">
      <c r="A76">
        <f ca="1"/>
        <v>75</v>
      </c>
      <c r="B76">
        <f ca="1"/>
        <v>2</v>
      </c>
      <c r="C76">
        <f ca="1"/>
        <v>18</v>
      </c>
      <c r="D76" s="17">
        <f ca="1"/>
        <v>692209.43892727443</v>
      </c>
      <c r="E76" s="17">
        <f ca="1"/>
        <v>7571765.0156263877</v>
      </c>
      <c r="F76">
        <f ca="1"/>
        <v>344.875067138671</v>
      </c>
      <c r="G76">
        <f ca="1"/>
        <v>0</v>
      </c>
      <c r="H76">
        <f ca="1"/>
        <v>0</v>
      </c>
      <c r="I76" t="str">
        <f ca="1"/>
        <v>MIN NO MERGE</v>
      </c>
      <c r="J76">
        <f ca="1"/>
        <v>10</v>
      </c>
      <c r="K76" t="str">
        <f ca="1"/>
        <v>R-15</v>
      </c>
      <c r="L76" t="str">
        <f ca="1"/>
        <v>R-15</v>
      </c>
      <c r="M76">
        <f ca="1"/>
        <v>0</v>
      </c>
      <c r="N76">
        <f ca="1"/>
        <v>-0.3587706701741542</v>
      </c>
      <c r="O76">
        <f ca="1"/>
        <v>-0.3587706701741542</v>
      </c>
      <c r="P76">
        <f ca="1"/>
        <v>2.7828219834156389</v>
      </c>
      <c r="Q76">
        <f ca="1"/>
        <v>1.5707963267948966</v>
      </c>
      <c r="R76">
        <f ca="1"/>
        <v>692207.45625024103</v>
      </c>
      <c r="S76">
        <f ca="1"/>
        <v>7571762.9182490297</v>
      </c>
      <c r="T76">
        <f ca="1"/>
        <v>344.97506713867102</v>
      </c>
      <c r="U76">
        <f ca="1"/>
        <v>692207.45625024103</v>
      </c>
      <c r="V76">
        <f ca="1"/>
        <v>7571762.9182490297</v>
      </c>
      <c r="W76">
        <f ca="1"/>
        <v>344.97506713867102</v>
      </c>
      <c r="X76">
        <f ca="1"/>
        <v>692168.81958292099</v>
      </c>
      <c r="Y76">
        <f ca="1"/>
        <v>7571777.4069992704</v>
      </c>
      <c r="Z76">
        <f ca="1"/>
        <v>344.48989868164</v>
      </c>
      <c r="AA76">
        <f ca="1"/>
        <v>2</v>
      </c>
      <c r="AB76">
        <f ca="1"/>
        <v>1.5</v>
      </c>
      <c r="AC76">
        <f ca="1"/>
        <v>5.32</v>
      </c>
      <c r="AD76">
        <f ca="1"/>
        <v>1.6</v>
      </c>
      <c r="AE76">
        <f ca="1"/>
        <v>5.32</v>
      </c>
    </row>
    <row r="77" spans="1:31" x14ac:dyDescent="0.25">
      <c r="A77">
        <f ca="1"/>
        <v>76</v>
      </c>
      <c r="B77">
        <f ca="1"/>
        <v>3</v>
      </c>
      <c r="C77">
        <f ca="1"/>
        <v>18</v>
      </c>
      <c r="D77" s="17">
        <f ca="1"/>
        <v>692207.94080059021</v>
      </c>
      <c r="E77" s="17">
        <f ca="1"/>
        <v>7571765.5774238938</v>
      </c>
      <c r="F77">
        <f ca="1"/>
        <v>344.875067138671</v>
      </c>
      <c r="G77">
        <f ca="1"/>
        <v>0</v>
      </c>
      <c r="H77">
        <f ca="1"/>
        <v>0</v>
      </c>
      <c r="I77" t="str">
        <f ca="1"/>
        <v>MIN NO MERGE</v>
      </c>
      <c r="J77">
        <f ca="1"/>
        <v>10</v>
      </c>
      <c r="K77" t="str">
        <f ca="1"/>
        <v>R-15</v>
      </c>
      <c r="L77" t="str">
        <f ca="1"/>
        <v>R-15</v>
      </c>
      <c r="M77">
        <f ca="1"/>
        <v>0</v>
      </c>
      <c r="N77">
        <f ca="1"/>
        <v>-0.3587706701741542</v>
      </c>
      <c r="O77">
        <f ca="1"/>
        <v>-0.3587706701741542</v>
      </c>
      <c r="P77">
        <f ca="1"/>
        <v>2.7828219834156389</v>
      </c>
      <c r="Q77">
        <f ca="1"/>
        <v>1.5707963267948966</v>
      </c>
      <c r="R77">
        <f ca="1"/>
        <v>692207.45625024103</v>
      </c>
      <c r="S77">
        <f ca="1"/>
        <v>7571762.9182490297</v>
      </c>
      <c r="T77">
        <f ca="1"/>
        <v>344.97506713867102</v>
      </c>
      <c r="U77">
        <f ca="1"/>
        <v>692207.45625024103</v>
      </c>
      <c r="V77">
        <f ca="1"/>
        <v>7571762.9182490297</v>
      </c>
      <c r="W77">
        <f ca="1"/>
        <v>344.97506713867102</v>
      </c>
      <c r="X77">
        <f ca="1"/>
        <v>692168.81958292099</v>
      </c>
      <c r="Y77">
        <f ca="1"/>
        <v>7571777.4069992704</v>
      </c>
      <c r="Z77">
        <f ca="1"/>
        <v>344.48989868164</v>
      </c>
      <c r="AA77">
        <f ca="1"/>
        <v>2</v>
      </c>
      <c r="AB77">
        <f ca="1"/>
        <v>1.5</v>
      </c>
      <c r="AC77">
        <f ca="1"/>
        <v>5.32</v>
      </c>
      <c r="AD77">
        <f ca="1"/>
        <v>1.6</v>
      </c>
      <c r="AE77">
        <f ca="1"/>
        <v>5.32</v>
      </c>
    </row>
    <row r="78" spans="1:31" x14ac:dyDescent="0.25">
      <c r="A78">
        <f ca="1"/>
        <v>77</v>
      </c>
      <c r="B78">
        <f ca="1"/>
        <v>0</v>
      </c>
      <c r="C78">
        <f ca="1"/>
        <v>19</v>
      </c>
      <c r="D78" s="17">
        <f ca="1"/>
        <v>692170.20300928061</v>
      </c>
      <c r="E78" s="17">
        <f ca="1"/>
        <v>7571779.7290956303</v>
      </c>
      <c r="F78">
        <f ca="1"/>
        <v>344.38989868163998</v>
      </c>
      <c r="G78">
        <f ca="1"/>
        <v>0</v>
      </c>
      <c r="H78">
        <f ca="1"/>
        <v>0</v>
      </c>
      <c r="I78" t="str">
        <f ca="1"/>
        <v>MIN NO MERGE</v>
      </c>
      <c r="J78">
        <f ca="1"/>
        <v>10</v>
      </c>
      <c r="K78" t="str">
        <f ca="1"/>
        <v>R-15</v>
      </c>
      <c r="L78" t="str">
        <f ca="1"/>
        <v>R-15</v>
      </c>
      <c r="M78">
        <f ca="1"/>
        <v>1</v>
      </c>
      <c r="N78">
        <f ca="1"/>
        <v>2.7828219834156389</v>
      </c>
      <c r="O78">
        <f ca="1"/>
        <v>2.7828219834156389</v>
      </c>
      <c r="P78">
        <f ca="1"/>
        <v>2.7828219834156389</v>
      </c>
      <c r="Q78">
        <f ca="1"/>
        <v>1.5707963267948966</v>
      </c>
      <c r="R78">
        <f ca="1"/>
        <v>692168.81958292099</v>
      </c>
      <c r="S78">
        <f ca="1"/>
        <v>7571777.4069992704</v>
      </c>
      <c r="T78">
        <f ca="1"/>
        <v>344.48989868164</v>
      </c>
      <c r="U78">
        <f ca="1"/>
        <v>692207.45625024103</v>
      </c>
      <c r="V78">
        <f ca="1"/>
        <v>7571762.9182490297</v>
      </c>
      <c r="W78">
        <f ca="1"/>
        <v>344.97506713867102</v>
      </c>
      <c r="X78">
        <f ca="1"/>
        <v>692168.81958292099</v>
      </c>
      <c r="Y78">
        <f ca="1"/>
        <v>7571777.4069992704</v>
      </c>
      <c r="Z78">
        <f ca="1"/>
        <v>344.48989868164</v>
      </c>
      <c r="AA78">
        <f ca="1"/>
        <v>2</v>
      </c>
      <c r="AB78">
        <f ca="1"/>
        <v>1.5</v>
      </c>
      <c r="AC78">
        <f ca="1"/>
        <v>5.32</v>
      </c>
      <c r="AD78">
        <f ca="1"/>
        <v>1.6</v>
      </c>
      <c r="AE78">
        <f ca="1"/>
        <v>5.32</v>
      </c>
    </row>
    <row r="79" spans="1:31" x14ac:dyDescent="0.25">
      <c r="A79">
        <f ca="1"/>
        <v>78</v>
      </c>
      <c r="B79">
        <f ca="1"/>
        <v>1</v>
      </c>
      <c r="C79">
        <f ca="1"/>
        <v>19</v>
      </c>
      <c r="D79" s="17">
        <f ca="1"/>
        <v>692168.70488259639</v>
      </c>
      <c r="E79" s="17">
        <f ca="1"/>
        <v>7571780.2908931365</v>
      </c>
      <c r="F79">
        <f ca="1"/>
        <v>344.38989868163998</v>
      </c>
      <c r="G79">
        <f ca="1"/>
        <v>0</v>
      </c>
      <c r="H79">
        <f ca="1"/>
        <v>0</v>
      </c>
      <c r="I79" t="str">
        <f ca="1"/>
        <v>MIN NO MERGE</v>
      </c>
      <c r="J79">
        <f ca="1"/>
        <v>10</v>
      </c>
      <c r="K79" t="str">
        <f ca="1"/>
        <v>R-15</v>
      </c>
      <c r="L79" t="str">
        <f ca="1"/>
        <v>R-15</v>
      </c>
      <c r="M79">
        <f ca="1"/>
        <v>1</v>
      </c>
      <c r="N79">
        <f ca="1"/>
        <v>2.7828219834156389</v>
      </c>
      <c r="O79">
        <f ca="1"/>
        <v>2.7828219834156389</v>
      </c>
      <c r="P79">
        <f ca="1"/>
        <v>2.7828219834156389</v>
      </c>
      <c r="Q79">
        <f ca="1"/>
        <v>1.5707963267948966</v>
      </c>
      <c r="R79">
        <f ca="1"/>
        <v>692168.81958292099</v>
      </c>
      <c r="S79">
        <f ca="1"/>
        <v>7571777.4069992704</v>
      </c>
      <c r="T79">
        <f ca="1"/>
        <v>344.48989868164</v>
      </c>
      <c r="U79">
        <f ca="1"/>
        <v>692207.45625024103</v>
      </c>
      <c r="V79">
        <f ca="1"/>
        <v>7571762.9182490297</v>
      </c>
      <c r="W79">
        <f ca="1"/>
        <v>344.97506713867102</v>
      </c>
      <c r="X79">
        <f ca="1"/>
        <v>692168.81958292099</v>
      </c>
      <c r="Y79">
        <f ca="1"/>
        <v>7571777.4069992704</v>
      </c>
      <c r="Z79">
        <f ca="1"/>
        <v>344.48989868164</v>
      </c>
      <c r="AA79">
        <f ca="1"/>
        <v>2</v>
      </c>
      <c r="AB79">
        <f ca="1"/>
        <v>1.5</v>
      </c>
      <c r="AC79">
        <f ca="1"/>
        <v>5.32</v>
      </c>
      <c r="AD79">
        <f ca="1"/>
        <v>1.6</v>
      </c>
      <c r="AE79">
        <f ca="1"/>
        <v>5.32</v>
      </c>
    </row>
    <row r="80" spans="1:31" x14ac:dyDescent="0.25">
      <c r="A80">
        <f ca="1"/>
        <v>79</v>
      </c>
      <c r="B80">
        <f ca="1"/>
        <v>2</v>
      </c>
      <c r="C80">
        <f ca="1"/>
        <v>19</v>
      </c>
      <c r="D80" s="17">
        <f ca="1"/>
        <v>692166.83690588758</v>
      </c>
      <c r="E80" s="17">
        <f ca="1"/>
        <v>7571775.3096219124</v>
      </c>
      <c r="F80">
        <f ca="1"/>
        <v>344.38989868163998</v>
      </c>
      <c r="G80">
        <f ca="1"/>
        <v>0</v>
      </c>
      <c r="H80">
        <f ca="1"/>
        <v>0</v>
      </c>
      <c r="I80" t="str">
        <f ca="1"/>
        <v>MIN NO MERGE</v>
      </c>
      <c r="J80">
        <f ca="1"/>
        <v>10</v>
      </c>
      <c r="K80" t="str">
        <f ca="1"/>
        <v>R-15</v>
      </c>
      <c r="L80" t="str">
        <f ca="1"/>
        <v>R-15</v>
      </c>
      <c r="M80">
        <f ca="1"/>
        <v>1</v>
      </c>
      <c r="N80">
        <f ca="1"/>
        <v>2.7828219834156389</v>
      </c>
      <c r="O80">
        <f ca="1"/>
        <v>2.7828219834156389</v>
      </c>
      <c r="P80">
        <f ca="1"/>
        <v>2.7828219834156389</v>
      </c>
      <c r="Q80">
        <f ca="1"/>
        <v>1.5707963267948966</v>
      </c>
      <c r="R80">
        <f ca="1"/>
        <v>692168.81958292099</v>
      </c>
      <c r="S80">
        <f ca="1"/>
        <v>7571777.4069992704</v>
      </c>
      <c r="T80">
        <f ca="1"/>
        <v>344.48989868164</v>
      </c>
      <c r="U80">
        <f ca="1"/>
        <v>692207.45625024103</v>
      </c>
      <c r="V80">
        <f ca="1"/>
        <v>7571762.9182490297</v>
      </c>
      <c r="W80">
        <f ca="1"/>
        <v>344.97506713867102</v>
      </c>
      <c r="X80">
        <f ca="1"/>
        <v>692168.81958292099</v>
      </c>
      <c r="Y80">
        <f ca="1"/>
        <v>7571777.4069992704</v>
      </c>
      <c r="Z80">
        <f ca="1"/>
        <v>344.48989868164</v>
      </c>
      <c r="AA80">
        <f ca="1"/>
        <v>2</v>
      </c>
      <c r="AB80">
        <f ca="1"/>
        <v>1.5</v>
      </c>
      <c r="AC80">
        <f ca="1"/>
        <v>5.32</v>
      </c>
      <c r="AD80">
        <f ca="1"/>
        <v>1.6</v>
      </c>
      <c r="AE80">
        <f ca="1"/>
        <v>5.32</v>
      </c>
    </row>
    <row r="81" spans="1:31" x14ac:dyDescent="0.25">
      <c r="A81">
        <f ca="1"/>
        <v>80</v>
      </c>
      <c r="B81">
        <f ca="1"/>
        <v>3</v>
      </c>
      <c r="C81">
        <f ca="1"/>
        <v>19</v>
      </c>
      <c r="D81" s="17">
        <f ca="1"/>
        <v>692168.33503257181</v>
      </c>
      <c r="E81" s="17">
        <f ca="1"/>
        <v>7571774.7478244063</v>
      </c>
      <c r="F81">
        <f ca="1"/>
        <v>344.38989868163998</v>
      </c>
      <c r="G81">
        <f ca="1"/>
        <v>0</v>
      </c>
      <c r="H81">
        <f ca="1"/>
        <v>0</v>
      </c>
      <c r="I81" t="str">
        <f ca="1"/>
        <v>MIN NO MERGE</v>
      </c>
      <c r="J81">
        <f ca="1"/>
        <v>10</v>
      </c>
      <c r="K81" t="str">
        <f ca="1"/>
        <v>R-15</v>
      </c>
      <c r="L81" t="str">
        <f ca="1"/>
        <v>R-15</v>
      </c>
      <c r="M81">
        <f ca="1"/>
        <v>1</v>
      </c>
      <c r="N81">
        <f ca="1"/>
        <v>2.7828219834156389</v>
      </c>
      <c r="O81">
        <f ca="1"/>
        <v>2.7828219834156389</v>
      </c>
      <c r="P81">
        <f ca="1"/>
        <v>2.7828219834156389</v>
      </c>
      <c r="Q81">
        <f ca="1"/>
        <v>1.5707963267948966</v>
      </c>
      <c r="R81">
        <f ca="1"/>
        <v>692168.81958292099</v>
      </c>
      <c r="S81">
        <f ca="1"/>
        <v>7571777.4069992704</v>
      </c>
      <c r="T81">
        <f ca="1"/>
        <v>344.48989868164</v>
      </c>
      <c r="U81">
        <f ca="1"/>
        <v>692207.45625024103</v>
      </c>
      <c r="V81">
        <f ca="1"/>
        <v>7571762.9182490297</v>
      </c>
      <c r="W81">
        <f ca="1"/>
        <v>344.97506713867102</v>
      </c>
      <c r="X81">
        <f ca="1"/>
        <v>692168.81958292099</v>
      </c>
      <c r="Y81">
        <f ca="1"/>
        <v>7571777.4069992704</v>
      </c>
      <c r="Z81">
        <f ca="1"/>
        <v>344.48989868164</v>
      </c>
      <c r="AA81">
        <f ca="1"/>
        <v>2</v>
      </c>
      <c r="AB81">
        <f ca="1"/>
        <v>1.5</v>
      </c>
      <c r="AC81">
        <f ca="1"/>
        <v>5.32</v>
      </c>
      <c r="AD81">
        <f ca="1"/>
        <v>1.6</v>
      </c>
      <c r="AE81">
        <f ca="1"/>
        <v>5.32</v>
      </c>
    </row>
    <row r="82" spans="1:31" x14ac:dyDescent="0.25">
      <c r="A82">
        <f ca="1"/>
        <v>81</v>
      </c>
      <c r="B82">
        <f ca="1"/>
        <v>0</v>
      </c>
      <c r="C82">
        <f ca="1"/>
        <v>20</v>
      </c>
      <c r="D82" s="17">
        <f ca="1"/>
        <v>692226.3036030574</v>
      </c>
      <c r="E82" s="17">
        <f ca="1"/>
        <v>7572257.7056897096</v>
      </c>
      <c r="F82">
        <f ca="1"/>
        <v>347.84793701171799</v>
      </c>
      <c r="G82">
        <f ca="1"/>
        <v>0</v>
      </c>
      <c r="H82">
        <f ca="1"/>
        <v>0</v>
      </c>
      <c r="I82" t="str">
        <f ca="1"/>
        <v>MIN NO MERGE</v>
      </c>
      <c r="J82">
        <f ca="1"/>
        <v>11</v>
      </c>
      <c r="K82" t="str">
        <f ca="1"/>
        <v>R-16</v>
      </c>
      <c r="L82" t="str">
        <f ca="1"/>
        <v>R-16</v>
      </c>
      <c r="M82">
        <f ca="1"/>
        <v>0</v>
      </c>
      <c r="N82">
        <f ca="1"/>
        <v>0.13636259334410772</v>
      </c>
      <c r="O82">
        <f ca="1"/>
        <v>0.13636259334410772</v>
      </c>
      <c r="P82">
        <f ca="1"/>
        <v>-3.0052300602456854</v>
      </c>
      <c r="Q82">
        <f ca="1"/>
        <v>1.5707963267948966</v>
      </c>
      <c r="R82">
        <f ca="1"/>
        <v>692226.58883069304</v>
      </c>
      <c r="S82">
        <f ca="1"/>
        <v>7572259.1579449195</v>
      </c>
      <c r="T82">
        <f ca="1"/>
        <v>347.94793701171801</v>
      </c>
      <c r="U82">
        <f ca="1"/>
        <v>692226.58883069304</v>
      </c>
      <c r="V82">
        <f ca="1"/>
        <v>7572259.1579449195</v>
      </c>
      <c r="W82">
        <f ca="1"/>
        <v>347.94793701171801</v>
      </c>
      <c r="X82">
        <f ca="1"/>
        <v>692181.915184104</v>
      </c>
      <c r="Y82">
        <f ca="1"/>
        <v>7572253.02808904</v>
      </c>
      <c r="Z82">
        <f ca="1"/>
        <v>347.10491943359301</v>
      </c>
      <c r="AA82">
        <f ca="1"/>
        <v>1</v>
      </c>
      <c r="AB82">
        <f ca="1"/>
        <v>1.2</v>
      </c>
      <c r="AC82">
        <f ca="1"/>
        <v>2.8</v>
      </c>
      <c r="AD82">
        <f ca="1"/>
        <v>1.6</v>
      </c>
      <c r="AE82">
        <f ca="1"/>
        <v>2.8</v>
      </c>
    </row>
    <row r="83" spans="1:31" x14ac:dyDescent="0.25">
      <c r="A83">
        <f ca="1"/>
        <v>82</v>
      </c>
      <c r="B83">
        <f ca="1"/>
        <v>1</v>
      </c>
      <c r="C83">
        <f ca="1"/>
        <v>20</v>
      </c>
      <c r="D83" s="17">
        <f ca="1"/>
        <v>692227.88875028864</v>
      </c>
      <c r="E83" s="17">
        <f ca="1"/>
        <v>7572257.9231943199</v>
      </c>
      <c r="F83">
        <f ca="1"/>
        <v>347.84793701171799</v>
      </c>
      <c r="G83">
        <f ca="1"/>
        <v>0</v>
      </c>
      <c r="H83">
        <f ca="1"/>
        <v>0</v>
      </c>
      <c r="I83" t="str">
        <f ca="1"/>
        <v>MIN NO MERGE</v>
      </c>
      <c r="J83">
        <f ca="1"/>
        <v>11</v>
      </c>
      <c r="K83" t="str">
        <f ca="1"/>
        <v>R-16</v>
      </c>
      <c r="L83" t="str">
        <f ca="1"/>
        <v>R-16</v>
      </c>
      <c r="M83">
        <f ca="1"/>
        <v>0</v>
      </c>
      <c r="N83">
        <f ca="1"/>
        <v>0.13636259334410772</v>
      </c>
      <c r="O83">
        <f ca="1"/>
        <v>0.13636259334410772</v>
      </c>
      <c r="P83">
        <f ca="1"/>
        <v>-3.0052300602456854</v>
      </c>
      <c r="Q83">
        <f ca="1"/>
        <v>1.5707963267948966</v>
      </c>
      <c r="R83">
        <f ca="1"/>
        <v>692226.58883069304</v>
      </c>
      <c r="S83">
        <f ca="1"/>
        <v>7572259.1579449195</v>
      </c>
      <c r="T83">
        <f ca="1"/>
        <v>347.94793701171801</v>
      </c>
      <c r="U83">
        <f ca="1"/>
        <v>692226.58883069304</v>
      </c>
      <c r="V83">
        <f ca="1"/>
        <v>7572259.1579449195</v>
      </c>
      <c r="W83">
        <f ca="1"/>
        <v>347.94793701171801</v>
      </c>
      <c r="X83">
        <f ca="1"/>
        <v>692181.915184104</v>
      </c>
      <c r="Y83">
        <f ca="1"/>
        <v>7572253.02808904</v>
      </c>
      <c r="Z83">
        <f ca="1"/>
        <v>347.10491943359301</v>
      </c>
      <c r="AA83">
        <f ca="1"/>
        <v>1</v>
      </c>
      <c r="AB83">
        <f ca="1"/>
        <v>1.2</v>
      </c>
      <c r="AC83">
        <f ca="1"/>
        <v>2.8</v>
      </c>
      <c r="AD83">
        <f ca="1"/>
        <v>1.6</v>
      </c>
      <c r="AE83">
        <f ca="1"/>
        <v>2.8</v>
      </c>
    </row>
    <row r="84" spans="1:31" x14ac:dyDescent="0.25">
      <c r="A84">
        <f ca="1"/>
        <v>83</v>
      </c>
      <c r="B84">
        <f ca="1"/>
        <v>2</v>
      </c>
      <c r="C84">
        <f ca="1"/>
        <v>20</v>
      </c>
      <c r="D84" s="17">
        <f ca="1"/>
        <v>692227.5081172213</v>
      </c>
      <c r="E84" s="17">
        <f ca="1"/>
        <v>7572260.6972019738</v>
      </c>
      <c r="F84">
        <f ca="1"/>
        <v>347.84793701171799</v>
      </c>
      <c r="G84">
        <f ca="1"/>
        <v>0</v>
      </c>
      <c r="H84">
        <f ca="1"/>
        <v>0</v>
      </c>
      <c r="I84" t="str">
        <f ca="1"/>
        <v>MIN NO MERGE</v>
      </c>
      <c r="J84">
        <f ca="1"/>
        <v>11</v>
      </c>
      <c r="K84" t="str">
        <f ca="1"/>
        <v>R-16</v>
      </c>
      <c r="L84" t="str">
        <f ca="1"/>
        <v>R-16</v>
      </c>
      <c r="M84">
        <f ca="1"/>
        <v>0</v>
      </c>
      <c r="N84">
        <f ca="1"/>
        <v>0.13636259334410772</v>
      </c>
      <c r="O84">
        <f ca="1"/>
        <v>0.13636259334410772</v>
      </c>
      <c r="P84">
        <f ca="1"/>
        <v>-3.0052300602456854</v>
      </c>
      <c r="Q84">
        <f ca="1"/>
        <v>1.5707963267948966</v>
      </c>
      <c r="R84">
        <f ca="1"/>
        <v>692226.58883069304</v>
      </c>
      <c r="S84">
        <f ca="1"/>
        <v>7572259.1579449195</v>
      </c>
      <c r="T84">
        <f ca="1"/>
        <v>347.94793701171801</v>
      </c>
      <c r="U84">
        <f ca="1"/>
        <v>692226.58883069304</v>
      </c>
      <c r="V84">
        <f ca="1"/>
        <v>7572259.1579449195</v>
      </c>
      <c r="W84">
        <f ca="1"/>
        <v>347.94793701171801</v>
      </c>
      <c r="X84">
        <f ca="1"/>
        <v>692181.915184104</v>
      </c>
      <c r="Y84">
        <f ca="1"/>
        <v>7572253.02808904</v>
      </c>
      <c r="Z84">
        <f ca="1"/>
        <v>347.10491943359301</v>
      </c>
      <c r="AA84">
        <f ca="1"/>
        <v>1</v>
      </c>
      <c r="AB84">
        <f ca="1"/>
        <v>1.2</v>
      </c>
      <c r="AC84">
        <f ca="1"/>
        <v>2.8</v>
      </c>
      <c r="AD84">
        <f ca="1"/>
        <v>1.6</v>
      </c>
      <c r="AE84">
        <f ca="1"/>
        <v>2.8</v>
      </c>
    </row>
    <row r="85" spans="1:31" x14ac:dyDescent="0.25">
      <c r="A85">
        <f ca="1"/>
        <v>84</v>
      </c>
      <c r="B85">
        <f ca="1"/>
        <v>3</v>
      </c>
      <c r="C85">
        <f ca="1"/>
        <v>20</v>
      </c>
      <c r="D85" s="17">
        <f ca="1"/>
        <v>692225.92296999006</v>
      </c>
      <c r="E85" s="17">
        <f ca="1"/>
        <v>7572260.4796973635</v>
      </c>
      <c r="F85">
        <f ca="1"/>
        <v>347.84793701171799</v>
      </c>
      <c r="G85">
        <f ca="1"/>
        <v>0</v>
      </c>
      <c r="H85">
        <f ca="1"/>
        <v>0</v>
      </c>
      <c r="I85" t="str">
        <f ca="1"/>
        <v>MIN NO MERGE</v>
      </c>
      <c r="J85">
        <f ca="1"/>
        <v>11</v>
      </c>
      <c r="K85" t="str">
        <f ca="1"/>
        <v>R-16</v>
      </c>
      <c r="L85" t="str">
        <f ca="1"/>
        <v>R-16</v>
      </c>
      <c r="M85">
        <f ca="1"/>
        <v>0</v>
      </c>
      <c r="N85">
        <f ca="1"/>
        <v>0.13636259334410772</v>
      </c>
      <c r="O85">
        <f ca="1"/>
        <v>0.13636259334410772</v>
      </c>
      <c r="P85">
        <f ca="1"/>
        <v>-3.0052300602456854</v>
      </c>
      <c r="Q85">
        <f ca="1"/>
        <v>1.5707963267948966</v>
      </c>
      <c r="R85">
        <f ca="1"/>
        <v>692226.58883069304</v>
      </c>
      <c r="S85">
        <f ca="1"/>
        <v>7572259.1579449195</v>
      </c>
      <c r="T85">
        <f ca="1"/>
        <v>347.94793701171801</v>
      </c>
      <c r="U85">
        <f ca="1"/>
        <v>692226.58883069304</v>
      </c>
      <c r="V85">
        <f ca="1"/>
        <v>7572259.1579449195</v>
      </c>
      <c r="W85">
        <f ca="1"/>
        <v>347.94793701171801</v>
      </c>
      <c r="X85">
        <f ca="1"/>
        <v>692181.915184104</v>
      </c>
      <c r="Y85">
        <f ca="1"/>
        <v>7572253.02808904</v>
      </c>
      <c r="Z85">
        <f ca="1"/>
        <v>347.10491943359301</v>
      </c>
      <c r="AA85">
        <f ca="1"/>
        <v>1</v>
      </c>
      <c r="AB85">
        <f ca="1"/>
        <v>1.2</v>
      </c>
      <c r="AC85">
        <f ca="1"/>
        <v>2.8</v>
      </c>
      <c r="AD85">
        <f ca="1"/>
        <v>1.6</v>
      </c>
      <c r="AE85">
        <f ca="1"/>
        <v>2.8</v>
      </c>
    </row>
    <row r="86" spans="1:31" x14ac:dyDescent="0.25">
      <c r="A86">
        <f ca="1"/>
        <v>85</v>
      </c>
      <c r="B86">
        <f ca="1"/>
        <v>0</v>
      </c>
      <c r="C86">
        <f ca="1"/>
        <v>21</v>
      </c>
      <c r="D86" s="17">
        <f ca="1"/>
        <v>692182.20041173964</v>
      </c>
      <c r="E86" s="17">
        <f ca="1"/>
        <v>7572254.4803442499</v>
      </c>
      <c r="F86">
        <f ca="1"/>
        <v>347.00491943359299</v>
      </c>
      <c r="G86">
        <f ca="1"/>
        <v>0</v>
      </c>
      <c r="H86">
        <f ca="1"/>
        <v>0</v>
      </c>
      <c r="I86" t="str">
        <f ca="1"/>
        <v>MIN NO MERGE</v>
      </c>
      <c r="J86">
        <f ca="1"/>
        <v>11</v>
      </c>
      <c r="K86" t="str">
        <f ca="1"/>
        <v>R-16</v>
      </c>
      <c r="L86" t="str">
        <f ca="1"/>
        <v>R-16</v>
      </c>
      <c r="M86">
        <f ca="1"/>
        <v>1</v>
      </c>
      <c r="N86">
        <f ca="1"/>
        <v>-3.0052300602456854</v>
      </c>
      <c r="O86">
        <f ca="1"/>
        <v>-3.0052300602456854</v>
      </c>
      <c r="P86">
        <f ca="1"/>
        <v>-3.0052300602456854</v>
      </c>
      <c r="Q86">
        <f ca="1"/>
        <v>1.5707963267948966</v>
      </c>
      <c r="R86">
        <f ca="1"/>
        <v>692181.915184104</v>
      </c>
      <c r="S86">
        <f ca="1"/>
        <v>7572253.02808904</v>
      </c>
      <c r="T86">
        <f ca="1"/>
        <v>347.10491943359301</v>
      </c>
      <c r="U86">
        <f ca="1"/>
        <v>692226.58883069304</v>
      </c>
      <c r="V86">
        <f ca="1"/>
        <v>7572259.1579449195</v>
      </c>
      <c r="W86">
        <f ca="1"/>
        <v>347.94793701171801</v>
      </c>
      <c r="X86">
        <f ca="1"/>
        <v>692181.915184104</v>
      </c>
      <c r="Y86">
        <f ca="1"/>
        <v>7572253.02808904</v>
      </c>
      <c r="Z86">
        <f ca="1"/>
        <v>347.10491943359301</v>
      </c>
      <c r="AA86">
        <f ca="1"/>
        <v>1</v>
      </c>
      <c r="AB86">
        <f ca="1"/>
        <v>1.2</v>
      </c>
      <c r="AC86">
        <f ca="1"/>
        <v>2.8</v>
      </c>
      <c r="AD86">
        <f ca="1"/>
        <v>1.6</v>
      </c>
      <c r="AE86">
        <f ca="1"/>
        <v>2.8</v>
      </c>
    </row>
    <row r="87" spans="1:31" x14ac:dyDescent="0.25">
      <c r="A87">
        <f ca="1"/>
        <v>86</v>
      </c>
      <c r="B87">
        <f ca="1"/>
        <v>1</v>
      </c>
      <c r="C87">
        <f ca="1"/>
        <v>21</v>
      </c>
      <c r="D87" s="17">
        <f ca="1"/>
        <v>692180.61526450841</v>
      </c>
      <c r="E87" s="17">
        <f ca="1"/>
        <v>7572254.2628396396</v>
      </c>
      <c r="F87">
        <f ca="1"/>
        <v>347.00491943359299</v>
      </c>
      <c r="G87">
        <f ca="1"/>
        <v>0</v>
      </c>
      <c r="H87">
        <f ca="1"/>
        <v>0</v>
      </c>
      <c r="I87" t="str">
        <f ca="1"/>
        <v>MIN NO MERGE</v>
      </c>
      <c r="J87">
        <f ca="1"/>
        <v>11</v>
      </c>
      <c r="K87" t="str">
        <f ca="1"/>
        <v>R-16</v>
      </c>
      <c r="L87" t="str">
        <f ca="1"/>
        <v>R-16</v>
      </c>
      <c r="M87">
        <f ca="1"/>
        <v>1</v>
      </c>
      <c r="N87">
        <f ca="1"/>
        <v>-3.0052300602456854</v>
      </c>
      <c r="O87">
        <f ca="1"/>
        <v>-3.0052300602456854</v>
      </c>
      <c r="P87">
        <f ca="1"/>
        <v>-3.0052300602456854</v>
      </c>
      <c r="Q87">
        <f ca="1"/>
        <v>1.5707963267948966</v>
      </c>
      <c r="R87">
        <f ca="1"/>
        <v>692181.915184104</v>
      </c>
      <c r="S87">
        <f ca="1"/>
        <v>7572253.02808904</v>
      </c>
      <c r="T87">
        <f ca="1"/>
        <v>347.10491943359301</v>
      </c>
      <c r="U87">
        <f ca="1"/>
        <v>692226.58883069304</v>
      </c>
      <c r="V87">
        <f ca="1"/>
        <v>7572259.1579449195</v>
      </c>
      <c r="W87">
        <f ca="1"/>
        <v>347.94793701171801</v>
      </c>
      <c r="X87">
        <f ca="1"/>
        <v>692181.915184104</v>
      </c>
      <c r="Y87">
        <f ca="1"/>
        <v>7572253.02808904</v>
      </c>
      <c r="Z87">
        <f ca="1"/>
        <v>347.10491943359301</v>
      </c>
      <c r="AA87">
        <f ca="1"/>
        <v>1</v>
      </c>
      <c r="AB87">
        <f ca="1"/>
        <v>1.2</v>
      </c>
      <c r="AC87">
        <f ca="1"/>
        <v>2.8</v>
      </c>
      <c r="AD87">
        <f ca="1"/>
        <v>1.6</v>
      </c>
      <c r="AE87">
        <f ca="1"/>
        <v>2.8</v>
      </c>
    </row>
    <row r="88" spans="1:31" x14ac:dyDescent="0.25">
      <c r="A88">
        <f ca="1"/>
        <v>87</v>
      </c>
      <c r="B88">
        <f ca="1"/>
        <v>2</v>
      </c>
      <c r="C88">
        <f ca="1"/>
        <v>21</v>
      </c>
      <c r="D88" s="17">
        <f ca="1"/>
        <v>692180.99589757575</v>
      </c>
      <c r="E88" s="17">
        <f ca="1"/>
        <v>7572251.4888319857</v>
      </c>
      <c r="F88">
        <f ca="1"/>
        <v>347.00491943359299</v>
      </c>
      <c r="G88">
        <f ca="1"/>
        <v>0</v>
      </c>
      <c r="H88">
        <f ca="1"/>
        <v>0</v>
      </c>
      <c r="I88" t="str">
        <f ca="1"/>
        <v>MIN NO MERGE</v>
      </c>
      <c r="J88">
        <f ca="1"/>
        <v>11</v>
      </c>
      <c r="K88" t="str">
        <f ca="1"/>
        <v>R-16</v>
      </c>
      <c r="L88" t="str">
        <f ca="1"/>
        <v>R-16</v>
      </c>
      <c r="M88">
        <f ca="1"/>
        <v>1</v>
      </c>
      <c r="N88">
        <f ca="1"/>
        <v>-3.0052300602456854</v>
      </c>
      <c r="O88">
        <f ca="1"/>
        <v>-3.0052300602456854</v>
      </c>
      <c r="P88">
        <f ca="1"/>
        <v>-3.0052300602456854</v>
      </c>
      <c r="Q88">
        <f ca="1"/>
        <v>1.5707963267948966</v>
      </c>
      <c r="R88">
        <f ca="1"/>
        <v>692181.915184104</v>
      </c>
      <c r="S88">
        <f ca="1"/>
        <v>7572253.02808904</v>
      </c>
      <c r="T88">
        <f ca="1"/>
        <v>347.10491943359301</v>
      </c>
      <c r="U88">
        <f ca="1"/>
        <v>692226.58883069304</v>
      </c>
      <c r="V88">
        <f ca="1"/>
        <v>7572259.1579449195</v>
      </c>
      <c r="W88">
        <f ca="1"/>
        <v>347.94793701171801</v>
      </c>
      <c r="X88">
        <f ca="1"/>
        <v>692181.915184104</v>
      </c>
      <c r="Y88">
        <f ca="1"/>
        <v>7572253.02808904</v>
      </c>
      <c r="Z88">
        <f ca="1"/>
        <v>347.10491943359301</v>
      </c>
      <c r="AA88">
        <f ca="1"/>
        <v>1</v>
      </c>
      <c r="AB88">
        <f ca="1"/>
        <v>1.2</v>
      </c>
      <c r="AC88">
        <f ca="1"/>
        <v>2.8</v>
      </c>
      <c r="AD88">
        <f ca="1"/>
        <v>1.6</v>
      </c>
      <c r="AE88">
        <f ca="1"/>
        <v>2.8</v>
      </c>
    </row>
    <row r="89" spans="1:31" x14ac:dyDescent="0.25">
      <c r="A89">
        <f ca="1"/>
        <v>88</v>
      </c>
      <c r="B89">
        <f ca="1"/>
        <v>3</v>
      </c>
      <c r="C89">
        <f ca="1"/>
        <v>21</v>
      </c>
      <c r="D89" s="17">
        <f ca="1"/>
        <v>692182.58104480698</v>
      </c>
      <c r="E89" s="17">
        <f ca="1"/>
        <v>7572251.706336596</v>
      </c>
      <c r="F89">
        <f ca="1"/>
        <v>347.00491943359299</v>
      </c>
      <c r="G89">
        <f ca="1"/>
        <v>0</v>
      </c>
      <c r="H89">
        <f ca="1"/>
        <v>0</v>
      </c>
      <c r="I89" t="str">
        <f ca="1"/>
        <v>MIN NO MERGE</v>
      </c>
      <c r="J89">
        <f ca="1"/>
        <v>11</v>
      </c>
      <c r="K89" t="str">
        <f ca="1"/>
        <v>R-16</v>
      </c>
      <c r="L89" t="str">
        <f ca="1"/>
        <v>R-16</v>
      </c>
      <c r="M89">
        <f ca="1"/>
        <v>1</v>
      </c>
      <c r="N89">
        <f ca="1"/>
        <v>-3.0052300602456854</v>
      </c>
      <c r="O89">
        <f ca="1"/>
        <v>-3.0052300602456854</v>
      </c>
      <c r="P89">
        <f ca="1"/>
        <v>-3.0052300602456854</v>
      </c>
      <c r="Q89">
        <f ca="1"/>
        <v>1.5707963267948966</v>
      </c>
      <c r="R89">
        <f ca="1"/>
        <v>692181.915184104</v>
      </c>
      <c r="S89">
        <f ca="1"/>
        <v>7572253.02808904</v>
      </c>
      <c r="T89">
        <f ca="1"/>
        <v>347.10491943359301</v>
      </c>
      <c r="U89">
        <f ca="1"/>
        <v>692226.58883069304</v>
      </c>
      <c r="V89">
        <f ca="1"/>
        <v>7572259.1579449195</v>
      </c>
      <c r="W89">
        <f ca="1"/>
        <v>347.94793701171801</v>
      </c>
      <c r="X89">
        <f ca="1"/>
        <v>692181.915184104</v>
      </c>
      <c r="Y89">
        <f ca="1"/>
        <v>7572253.02808904</v>
      </c>
      <c r="Z89">
        <f ca="1"/>
        <v>347.10491943359301</v>
      </c>
      <c r="AA89">
        <f ca="1"/>
        <v>1</v>
      </c>
      <c r="AB89">
        <f ca="1"/>
        <v>1.2</v>
      </c>
      <c r="AC89">
        <f ca="1"/>
        <v>2.8</v>
      </c>
      <c r="AD89">
        <f ca="1"/>
        <v>1.6</v>
      </c>
      <c r="AE89">
        <f ca="1"/>
        <v>2.8</v>
      </c>
    </row>
    <row r="90" spans="1:31" x14ac:dyDescent="0.25">
      <c r="A90">
        <f ca="1"/>
        <v>89</v>
      </c>
      <c r="B90">
        <f ca="1"/>
        <v>0</v>
      </c>
      <c r="C90">
        <f ca="1"/>
        <v>22</v>
      </c>
      <c r="D90" s="17">
        <f ca="1"/>
        <v>692462.42705639137</v>
      </c>
      <c r="E90" s="17">
        <f ca="1"/>
        <v>7573332.0616109613</v>
      </c>
      <c r="F90">
        <f ca="1"/>
        <v>337.20044555663998</v>
      </c>
      <c r="G90">
        <f ca="1"/>
        <v>0</v>
      </c>
      <c r="H90">
        <f ca="1"/>
        <v>0</v>
      </c>
      <c r="I90" t="str">
        <f ca="1"/>
        <v>MIN NO MERGE</v>
      </c>
      <c r="J90">
        <f ca="1"/>
        <v>12</v>
      </c>
      <c r="K90" t="str">
        <f ca="1"/>
        <v>R-17</v>
      </c>
      <c r="L90" t="str">
        <f ca="1"/>
        <v>R-17</v>
      </c>
      <c r="M90">
        <f ca="1"/>
        <v>0</v>
      </c>
      <c r="N90">
        <f ca="1"/>
        <v>-0.47680474462717726</v>
      </c>
      <c r="O90">
        <f ca="1"/>
        <v>-0.47680474462717726</v>
      </c>
      <c r="P90">
        <f ca="1"/>
        <v>2.6647879089626159</v>
      </c>
      <c r="Q90">
        <f ca="1"/>
        <v>1.5707963267948966</v>
      </c>
      <c r="R90">
        <f ca="1"/>
        <v>692464.07430746395</v>
      </c>
      <c r="S90">
        <f ca="1"/>
        <v>7573334.2046377696</v>
      </c>
      <c r="T90">
        <f ca="1"/>
        <v>337.30044555664</v>
      </c>
      <c r="U90">
        <f ca="1"/>
        <v>692464.07430746395</v>
      </c>
      <c r="V90">
        <f ca="1"/>
        <v>7573334.2046377696</v>
      </c>
      <c r="W90">
        <f ca="1"/>
        <v>337.30044555664</v>
      </c>
      <c r="X90">
        <f ca="1"/>
        <v>692436.02557301603</v>
      </c>
      <c r="Y90">
        <f ca="1"/>
        <v>7573348.6933880197</v>
      </c>
      <c r="Z90">
        <f ca="1"/>
        <v>337.15353393554602</v>
      </c>
      <c r="AA90">
        <f ca="1"/>
        <v>2</v>
      </c>
      <c r="AB90">
        <f ca="1"/>
        <v>1.5</v>
      </c>
      <c r="AC90">
        <f ca="1"/>
        <v>5.32</v>
      </c>
      <c r="AD90">
        <f ca="1"/>
        <v>1.6</v>
      </c>
      <c r="AE90">
        <f ca="1"/>
        <v>5.32</v>
      </c>
    </row>
    <row r="91" spans="1:31" x14ac:dyDescent="0.25">
      <c r="A91">
        <f ca="1"/>
        <v>90</v>
      </c>
      <c r="B91">
        <f ca="1"/>
        <v>1</v>
      </c>
      <c r="C91">
        <f ca="1"/>
        <v>22</v>
      </c>
      <c r="D91" s="17">
        <f ca="1"/>
        <v>692463.84860182286</v>
      </c>
      <c r="E91" s="17">
        <f ca="1"/>
        <v>7573331.3273027251</v>
      </c>
      <c r="F91">
        <f ca="1"/>
        <v>337.20044555663998</v>
      </c>
      <c r="G91">
        <f ca="1"/>
        <v>0</v>
      </c>
      <c r="H91">
        <f ca="1"/>
        <v>0</v>
      </c>
      <c r="I91" t="str">
        <f ca="1"/>
        <v>MIN NO MERGE</v>
      </c>
      <c r="J91">
        <f ca="1"/>
        <v>12</v>
      </c>
      <c r="K91" t="str">
        <f ca="1"/>
        <v>R-17</v>
      </c>
      <c r="L91" t="str">
        <f ca="1"/>
        <v>R-17</v>
      </c>
      <c r="M91">
        <f ca="1"/>
        <v>0</v>
      </c>
      <c r="N91">
        <f ca="1"/>
        <v>-0.47680474462717726</v>
      </c>
      <c r="O91">
        <f ca="1"/>
        <v>-0.47680474462717726</v>
      </c>
      <c r="P91">
        <f ca="1"/>
        <v>2.6647879089626159</v>
      </c>
      <c r="Q91">
        <f ca="1"/>
        <v>1.5707963267948966</v>
      </c>
      <c r="R91">
        <f ca="1"/>
        <v>692464.07430746395</v>
      </c>
      <c r="S91">
        <f ca="1"/>
        <v>7573334.2046377696</v>
      </c>
      <c r="T91">
        <f ca="1"/>
        <v>337.30044555664</v>
      </c>
      <c r="U91">
        <f ca="1"/>
        <v>692464.07430746395</v>
      </c>
      <c r="V91">
        <f ca="1"/>
        <v>7573334.2046377696</v>
      </c>
      <c r="W91">
        <f ca="1"/>
        <v>337.30044555664</v>
      </c>
      <c r="X91">
        <f ca="1"/>
        <v>692436.02557301603</v>
      </c>
      <c r="Y91">
        <f ca="1"/>
        <v>7573348.6933880197</v>
      </c>
      <c r="Z91">
        <f ca="1"/>
        <v>337.15353393554602</v>
      </c>
      <c r="AA91">
        <f ca="1"/>
        <v>2</v>
      </c>
      <c r="AB91">
        <f ca="1"/>
        <v>1.5</v>
      </c>
      <c r="AC91">
        <f ca="1"/>
        <v>5.32</v>
      </c>
      <c r="AD91">
        <f ca="1"/>
        <v>1.6</v>
      </c>
      <c r="AE91">
        <f ca="1"/>
        <v>5.32</v>
      </c>
    </row>
    <row r="92" spans="1:31" x14ac:dyDescent="0.25">
      <c r="A92">
        <f ca="1"/>
        <v>91</v>
      </c>
      <c r="B92">
        <f ca="1"/>
        <v>2</v>
      </c>
      <c r="C92">
        <f ca="1"/>
        <v>22</v>
      </c>
      <c r="D92" s="17">
        <f ca="1"/>
        <v>692466.29017670907</v>
      </c>
      <c r="E92" s="17">
        <f ca="1"/>
        <v>7573336.0539412843</v>
      </c>
      <c r="F92">
        <f ca="1"/>
        <v>337.20044555663998</v>
      </c>
      <c r="G92">
        <f ca="1"/>
        <v>0</v>
      </c>
      <c r="H92">
        <f ca="1"/>
        <v>0</v>
      </c>
      <c r="I92" t="str">
        <f ca="1"/>
        <v>MIN NO MERGE</v>
      </c>
      <c r="J92">
        <f ca="1"/>
        <v>12</v>
      </c>
      <c r="K92" t="str">
        <f ca="1"/>
        <v>R-17</v>
      </c>
      <c r="L92" t="str">
        <f ca="1"/>
        <v>R-17</v>
      </c>
      <c r="M92">
        <f ca="1"/>
        <v>0</v>
      </c>
      <c r="N92">
        <f ca="1"/>
        <v>-0.47680474462717726</v>
      </c>
      <c r="O92">
        <f ca="1"/>
        <v>-0.47680474462717726</v>
      </c>
      <c r="P92">
        <f ca="1"/>
        <v>2.6647879089626159</v>
      </c>
      <c r="Q92">
        <f ca="1"/>
        <v>1.5707963267948966</v>
      </c>
      <c r="R92">
        <f ca="1"/>
        <v>692464.07430746395</v>
      </c>
      <c r="S92">
        <f ca="1"/>
        <v>7573334.2046377696</v>
      </c>
      <c r="T92">
        <f ca="1"/>
        <v>337.30044555664</v>
      </c>
      <c r="U92">
        <f ca="1"/>
        <v>692464.07430746395</v>
      </c>
      <c r="V92">
        <f ca="1"/>
        <v>7573334.2046377696</v>
      </c>
      <c r="W92">
        <f ca="1"/>
        <v>337.30044555664</v>
      </c>
      <c r="X92">
        <f ca="1"/>
        <v>692436.02557301603</v>
      </c>
      <c r="Y92">
        <f ca="1"/>
        <v>7573348.6933880197</v>
      </c>
      <c r="Z92">
        <f ca="1"/>
        <v>337.15353393554602</v>
      </c>
      <c r="AA92">
        <f ca="1"/>
        <v>2</v>
      </c>
      <c r="AB92">
        <f ca="1"/>
        <v>1.5</v>
      </c>
      <c r="AC92">
        <f ca="1"/>
        <v>5.32</v>
      </c>
      <c r="AD92">
        <f ca="1"/>
        <v>1.6</v>
      </c>
      <c r="AE92">
        <f ca="1"/>
        <v>5.32</v>
      </c>
    </row>
    <row r="93" spans="1:31" x14ac:dyDescent="0.25">
      <c r="A93">
        <f ca="1"/>
        <v>92</v>
      </c>
      <c r="B93">
        <f ca="1"/>
        <v>3</v>
      </c>
      <c r="C93">
        <f ca="1"/>
        <v>22</v>
      </c>
      <c r="D93" s="17">
        <f ca="1"/>
        <v>692464.86863127758</v>
      </c>
      <c r="E93" s="17">
        <f ca="1"/>
        <v>7573336.7882495206</v>
      </c>
      <c r="F93">
        <f ca="1"/>
        <v>337.20044555663998</v>
      </c>
      <c r="G93">
        <f ca="1"/>
        <v>0</v>
      </c>
      <c r="H93">
        <f ca="1"/>
        <v>0</v>
      </c>
      <c r="I93" t="str">
        <f ca="1"/>
        <v>MIN NO MERGE</v>
      </c>
      <c r="J93">
        <f ca="1"/>
        <v>12</v>
      </c>
      <c r="K93" t="str">
        <f ca="1"/>
        <v>R-17</v>
      </c>
      <c r="L93" t="str">
        <f ca="1"/>
        <v>R-17</v>
      </c>
      <c r="M93">
        <f ca="1"/>
        <v>0</v>
      </c>
      <c r="N93">
        <f ca="1"/>
        <v>-0.47680474462717726</v>
      </c>
      <c r="O93">
        <f ca="1"/>
        <v>-0.47680474462717726</v>
      </c>
      <c r="P93">
        <f ca="1"/>
        <v>2.6647879089626159</v>
      </c>
      <c r="Q93">
        <f ca="1"/>
        <v>1.5707963267948966</v>
      </c>
      <c r="R93">
        <f ca="1"/>
        <v>692464.07430746395</v>
      </c>
      <c r="S93">
        <f ca="1"/>
        <v>7573334.2046377696</v>
      </c>
      <c r="T93">
        <f ca="1"/>
        <v>337.30044555664</v>
      </c>
      <c r="U93">
        <f ca="1"/>
        <v>692464.07430746395</v>
      </c>
      <c r="V93">
        <f ca="1"/>
        <v>7573334.2046377696</v>
      </c>
      <c r="W93">
        <f ca="1"/>
        <v>337.30044555664</v>
      </c>
      <c r="X93">
        <f ca="1"/>
        <v>692436.02557301603</v>
      </c>
      <c r="Y93">
        <f ca="1"/>
        <v>7573348.6933880197</v>
      </c>
      <c r="Z93">
        <f ca="1"/>
        <v>337.15353393554602</v>
      </c>
      <c r="AA93">
        <f ca="1"/>
        <v>2</v>
      </c>
      <c r="AB93">
        <f ca="1"/>
        <v>1.5</v>
      </c>
      <c r="AC93">
        <f ca="1"/>
        <v>5.32</v>
      </c>
      <c r="AD93">
        <f ca="1"/>
        <v>1.6</v>
      </c>
      <c r="AE93">
        <f ca="1"/>
        <v>5.32</v>
      </c>
    </row>
    <row r="94" spans="1:31" x14ac:dyDescent="0.25">
      <c r="A94">
        <f ca="1"/>
        <v>93</v>
      </c>
      <c r="B94">
        <f ca="1"/>
        <v>0</v>
      </c>
      <c r="C94">
        <f ca="1"/>
        <v>23</v>
      </c>
      <c r="D94" s="17">
        <f ca="1"/>
        <v>692437.6728240886</v>
      </c>
      <c r="E94" s="17">
        <f ca="1"/>
        <v>7573350.836414828</v>
      </c>
      <c r="F94">
        <f ca="1"/>
        <v>337.053533935546</v>
      </c>
      <c r="G94">
        <f ca="1"/>
        <v>0</v>
      </c>
      <c r="H94">
        <f ca="1"/>
        <v>0</v>
      </c>
      <c r="I94" t="str">
        <f ca="1"/>
        <v>MIN NO MERGE</v>
      </c>
      <c r="J94">
        <f ca="1"/>
        <v>12</v>
      </c>
      <c r="K94" t="str">
        <f ca="1"/>
        <v>R-17</v>
      </c>
      <c r="L94" t="str">
        <f ca="1"/>
        <v>R-17</v>
      </c>
      <c r="M94">
        <f ca="1"/>
        <v>1</v>
      </c>
      <c r="N94">
        <f ca="1"/>
        <v>2.6647879089626159</v>
      </c>
      <c r="O94">
        <f ca="1"/>
        <v>2.6647879089626159</v>
      </c>
      <c r="P94">
        <f ca="1"/>
        <v>2.6647879089626159</v>
      </c>
      <c r="Q94">
        <f ca="1"/>
        <v>1.5707963267948966</v>
      </c>
      <c r="R94">
        <f ca="1"/>
        <v>692436.02557301603</v>
      </c>
      <c r="S94">
        <f ca="1"/>
        <v>7573348.6933880197</v>
      </c>
      <c r="T94">
        <f ca="1"/>
        <v>337.15353393554602</v>
      </c>
      <c r="U94">
        <f ca="1"/>
        <v>692464.07430746395</v>
      </c>
      <c r="V94">
        <f ca="1"/>
        <v>7573334.2046377696</v>
      </c>
      <c r="W94">
        <f ca="1"/>
        <v>337.30044555664</v>
      </c>
      <c r="X94">
        <f ca="1"/>
        <v>692436.02557301603</v>
      </c>
      <c r="Y94">
        <f ca="1"/>
        <v>7573348.6933880197</v>
      </c>
      <c r="Z94">
        <f ca="1"/>
        <v>337.15353393554602</v>
      </c>
      <c r="AA94">
        <f ca="1"/>
        <v>2</v>
      </c>
      <c r="AB94">
        <f ca="1"/>
        <v>1.5</v>
      </c>
      <c r="AC94">
        <f ca="1"/>
        <v>5.32</v>
      </c>
      <c r="AD94">
        <f ca="1"/>
        <v>1.6</v>
      </c>
      <c r="AE94">
        <f ca="1"/>
        <v>5.32</v>
      </c>
    </row>
    <row r="95" spans="1:31" x14ac:dyDescent="0.25">
      <c r="A95">
        <f ca="1"/>
        <v>94</v>
      </c>
      <c r="B95">
        <f ca="1"/>
        <v>1</v>
      </c>
      <c r="C95">
        <f ca="1"/>
        <v>23</v>
      </c>
      <c r="D95" s="17">
        <f ca="1"/>
        <v>692436.25127865712</v>
      </c>
      <c r="E95" s="17">
        <f ca="1"/>
        <v>7573351.5707230642</v>
      </c>
      <c r="F95">
        <f ca="1"/>
        <v>337.053533935546</v>
      </c>
      <c r="G95">
        <f ca="1"/>
        <v>0</v>
      </c>
      <c r="H95">
        <f ca="1"/>
        <v>0</v>
      </c>
      <c r="I95" t="str">
        <f ca="1"/>
        <v>MIN NO MERGE</v>
      </c>
      <c r="J95">
        <f ca="1"/>
        <v>12</v>
      </c>
      <c r="K95" t="str">
        <f ca="1"/>
        <v>R-17</v>
      </c>
      <c r="L95" t="str">
        <f ca="1"/>
        <v>R-17</v>
      </c>
      <c r="M95">
        <f ca="1"/>
        <v>1</v>
      </c>
      <c r="N95">
        <f ca="1"/>
        <v>2.6647879089626159</v>
      </c>
      <c r="O95">
        <f ca="1"/>
        <v>2.6647879089626159</v>
      </c>
      <c r="P95">
        <f ca="1"/>
        <v>2.6647879089626159</v>
      </c>
      <c r="Q95">
        <f ca="1"/>
        <v>1.5707963267948966</v>
      </c>
      <c r="R95">
        <f ca="1"/>
        <v>692436.02557301603</v>
      </c>
      <c r="S95">
        <f ca="1"/>
        <v>7573348.6933880197</v>
      </c>
      <c r="T95">
        <f ca="1"/>
        <v>337.15353393554602</v>
      </c>
      <c r="U95">
        <f ca="1"/>
        <v>692464.07430746395</v>
      </c>
      <c r="V95">
        <f ca="1"/>
        <v>7573334.2046377696</v>
      </c>
      <c r="W95">
        <f ca="1"/>
        <v>337.30044555664</v>
      </c>
      <c r="X95">
        <f ca="1"/>
        <v>692436.02557301603</v>
      </c>
      <c r="Y95">
        <f ca="1"/>
        <v>7573348.6933880197</v>
      </c>
      <c r="Z95">
        <f ca="1"/>
        <v>337.15353393554602</v>
      </c>
      <c r="AA95">
        <f ca="1"/>
        <v>2</v>
      </c>
      <c r="AB95">
        <f ca="1"/>
        <v>1.5</v>
      </c>
      <c r="AC95">
        <f ca="1"/>
        <v>5.32</v>
      </c>
      <c r="AD95">
        <f ca="1"/>
        <v>1.6</v>
      </c>
      <c r="AE95">
        <f ca="1"/>
        <v>5.32</v>
      </c>
    </row>
    <row r="96" spans="1:31" x14ac:dyDescent="0.25">
      <c r="A96">
        <f ca="1"/>
        <v>95</v>
      </c>
      <c r="B96">
        <f ca="1"/>
        <v>2</v>
      </c>
      <c r="C96">
        <f ca="1"/>
        <v>23</v>
      </c>
      <c r="D96" s="17">
        <f ca="1"/>
        <v>692433.80970377091</v>
      </c>
      <c r="E96" s="17">
        <f ca="1"/>
        <v>7573346.844084505</v>
      </c>
      <c r="F96">
        <f ca="1"/>
        <v>337.053533935546</v>
      </c>
      <c r="G96">
        <f ca="1"/>
        <v>0</v>
      </c>
      <c r="H96">
        <f ca="1"/>
        <v>0</v>
      </c>
      <c r="I96" t="str">
        <f ca="1"/>
        <v>MIN NO MERGE</v>
      </c>
      <c r="J96">
        <f ca="1"/>
        <v>12</v>
      </c>
      <c r="K96" t="str">
        <f ca="1"/>
        <v>R-17</v>
      </c>
      <c r="L96" t="str">
        <f ca="1"/>
        <v>R-17</v>
      </c>
      <c r="M96">
        <f ca="1"/>
        <v>1</v>
      </c>
      <c r="N96">
        <f ca="1"/>
        <v>2.6647879089626159</v>
      </c>
      <c r="O96">
        <f ca="1"/>
        <v>2.6647879089626159</v>
      </c>
      <c r="P96">
        <f ca="1"/>
        <v>2.6647879089626159</v>
      </c>
      <c r="Q96">
        <f ca="1"/>
        <v>1.5707963267948966</v>
      </c>
      <c r="R96">
        <f ca="1"/>
        <v>692436.02557301603</v>
      </c>
      <c r="S96">
        <f ca="1"/>
        <v>7573348.6933880197</v>
      </c>
      <c r="T96">
        <f ca="1"/>
        <v>337.15353393554602</v>
      </c>
      <c r="U96">
        <f ca="1"/>
        <v>692464.07430746395</v>
      </c>
      <c r="V96">
        <f ca="1"/>
        <v>7573334.2046377696</v>
      </c>
      <c r="W96">
        <f ca="1"/>
        <v>337.30044555664</v>
      </c>
      <c r="X96">
        <f ca="1"/>
        <v>692436.02557301603</v>
      </c>
      <c r="Y96">
        <f ca="1"/>
        <v>7573348.6933880197</v>
      </c>
      <c r="Z96">
        <f ca="1"/>
        <v>337.15353393554602</v>
      </c>
      <c r="AA96">
        <f ca="1"/>
        <v>2</v>
      </c>
      <c r="AB96">
        <f ca="1"/>
        <v>1.5</v>
      </c>
      <c r="AC96">
        <f ca="1"/>
        <v>5.32</v>
      </c>
      <c r="AD96">
        <f ca="1"/>
        <v>1.6</v>
      </c>
      <c r="AE96">
        <f ca="1"/>
        <v>5.32</v>
      </c>
    </row>
    <row r="97" spans="1:31" x14ac:dyDescent="0.25">
      <c r="A97">
        <f ca="1"/>
        <v>96</v>
      </c>
      <c r="B97">
        <f ca="1"/>
        <v>3</v>
      </c>
      <c r="C97">
        <f ca="1"/>
        <v>23</v>
      </c>
      <c r="D97" s="17">
        <f ca="1"/>
        <v>692435.23124920239</v>
      </c>
      <c r="E97" s="17">
        <f ca="1"/>
        <v>7573346.1097762687</v>
      </c>
      <c r="F97">
        <f ca="1"/>
        <v>337.053533935546</v>
      </c>
      <c r="G97">
        <f ca="1"/>
        <v>0</v>
      </c>
      <c r="H97">
        <f ca="1"/>
        <v>0</v>
      </c>
      <c r="I97" t="str">
        <f ca="1"/>
        <v>MIN NO MERGE</v>
      </c>
      <c r="J97">
        <f ca="1"/>
        <v>12</v>
      </c>
      <c r="K97" t="str">
        <f ca="1"/>
        <v>R-17</v>
      </c>
      <c r="L97" t="str">
        <f ca="1"/>
        <v>R-17</v>
      </c>
      <c r="M97">
        <f ca="1"/>
        <v>1</v>
      </c>
      <c r="N97">
        <f ca="1"/>
        <v>2.6647879089626159</v>
      </c>
      <c r="O97">
        <f ca="1"/>
        <v>2.6647879089626159</v>
      </c>
      <c r="P97">
        <f ca="1"/>
        <v>2.6647879089626159</v>
      </c>
      <c r="Q97">
        <f ca="1"/>
        <v>1.5707963267948966</v>
      </c>
      <c r="R97">
        <f ca="1"/>
        <v>692436.02557301603</v>
      </c>
      <c r="S97">
        <f ca="1"/>
        <v>7573348.6933880197</v>
      </c>
      <c r="T97">
        <f ca="1"/>
        <v>337.15353393554602</v>
      </c>
      <c r="U97">
        <f ca="1"/>
        <v>692464.07430746395</v>
      </c>
      <c r="V97">
        <f ca="1"/>
        <v>7573334.2046377696</v>
      </c>
      <c r="W97">
        <f ca="1"/>
        <v>337.30044555664</v>
      </c>
      <c r="X97">
        <f ca="1"/>
        <v>692436.02557301603</v>
      </c>
      <c r="Y97">
        <f ca="1"/>
        <v>7573348.6933880197</v>
      </c>
      <c r="Z97">
        <f ca="1"/>
        <v>337.15353393554602</v>
      </c>
      <c r="AA97">
        <f ca="1"/>
        <v>2</v>
      </c>
      <c r="AB97">
        <f ca="1"/>
        <v>1.5</v>
      </c>
      <c r="AC97">
        <f ca="1"/>
        <v>5.32</v>
      </c>
      <c r="AD97">
        <f ca="1"/>
        <v>1.6</v>
      </c>
      <c r="AE97">
        <f ca="1"/>
        <v>5.32</v>
      </c>
    </row>
    <row r="98" spans="1:31" x14ac:dyDescent="0.25">
      <c r="A98">
        <f ca="1"/>
        <v>97</v>
      </c>
      <c r="B98">
        <f ca="1"/>
        <v>0</v>
      </c>
      <c r="C98">
        <f ca="1"/>
        <v>24</v>
      </c>
      <c r="D98" s="17">
        <f ca="1"/>
        <v>692506.9717608022</v>
      </c>
      <c r="E98" s="17">
        <f ca="1"/>
        <v>7573518.493576983</v>
      </c>
      <c r="F98">
        <f ca="1"/>
        <v>337.52054443359299</v>
      </c>
      <c r="G98">
        <f ca="1"/>
        <v>0</v>
      </c>
      <c r="H98">
        <f ca="1"/>
        <v>0</v>
      </c>
      <c r="I98" t="str">
        <f ca="1"/>
        <v>MIN NO MERGE</v>
      </c>
      <c r="J98">
        <f ca="1"/>
        <v>13</v>
      </c>
      <c r="K98" t="str">
        <f ca="1"/>
        <v>R-17b</v>
      </c>
      <c r="L98" t="str">
        <f ca="1"/>
        <v>R-17b</v>
      </c>
      <c r="M98">
        <f ca="1"/>
        <v>0</v>
      </c>
      <c r="N98">
        <f ca="1"/>
        <v>0.15166475373887511</v>
      </c>
      <c r="O98">
        <f ca="1"/>
        <v>0.15166475373887511</v>
      </c>
      <c r="P98">
        <f ca="1"/>
        <v>-2.989927899850918</v>
      </c>
      <c r="Q98">
        <f ca="1"/>
        <v>1.5707963267948966</v>
      </c>
      <c r="R98">
        <f ca="1"/>
        <v>692507.26192838699</v>
      </c>
      <c r="S98">
        <f ca="1"/>
        <v>7573519.7720928304</v>
      </c>
      <c r="T98">
        <f ca="1"/>
        <v>337.62054443359301</v>
      </c>
      <c r="U98">
        <f ca="1"/>
        <v>692507.26192838699</v>
      </c>
      <c r="V98">
        <f ca="1"/>
        <v>7573519.7720928304</v>
      </c>
      <c r="W98">
        <f ca="1"/>
        <v>337.62054443359301</v>
      </c>
      <c r="X98">
        <f ca="1"/>
        <v>692464.72444369295</v>
      </c>
      <c r="Y98">
        <f ca="1"/>
        <v>7573513.2707305402</v>
      </c>
      <c r="Z98">
        <f ca="1"/>
        <v>336.73544311523398</v>
      </c>
      <c r="AA98">
        <f ca="1"/>
        <v>1</v>
      </c>
      <c r="AB98">
        <f ca="1"/>
        <v>0.9</v>
      </c>
      <c r="AC98">
        <f ca="1"/>
        <v>2.44</v>
      </c>
      <c r="AD98">
        <f ca="1"/>
        <v>1.6</v>
      </c>
      <c r="AE98">
        <f ca="1"/>
        <v>2.44</v>
      </c>
    </row>
    <row r="99" spans="1:31" x14ac:dyDescent="0.25">
      <c r="A99">
        <f ca="1"/>
        <v>98</v>
      </c>
      <c r="B99">
        <f ca="1"/>
        <v>1</v>
      </c>
      <c r="C99">
        <f ca="1"/>
        <v>24</v>
      </c>
      <c r="D99" s="17">
        <f ca="1"/>
        <v>692508.5533942905</v>
      </c>
      <c r="E99" s="17">
        <f ca="1"/>
        <v>7573518.7353113592</v>
      </c>
      <c r="F99">
        <f ca="1"/>
        <v>337.52054443359299</v>
      </c>
      <c r="G99">
        <f ca="1"/>
        <v>0</v>
      </c>
      <c r="H99">
        <f ca="1"/>
        <v>0</v>
      </c>
      <c r="I99" t="str">
        <f ca="1"/>
        <v>MIN NO MERGE</v>
      </c>
      <c r="J99">
        <f ca="1"/>
        <v>13</v>
      </c>
      <c r="K99" t="str">
        <f ca="1"/>
        <v>R-17b</v>
      </c>
      <c r="L99" t="str">
        <f ca="1"/>
        <v>R-17b</v>
      </c>
      <c r="M99">
        <f ca="1"/>
        <v>0</v>
      </c>
      <c r="N99">
        <f ca="1"/>
        <v>0.15166475373887511</v>
      </c>
      <c r="O99">
        <f ca="1"/>
        <v>0.15166475373887511</v>
      </c>
      <c r="P99">
        <f ca="1"/>
        <v>-2.989927899850918</v>
      </c>
      <c r="Q99">
        <f ca="1"/>
        <v>1.5707963267948966</v>
      </c>
      <c r="R99">
        <f ca="1"/>
        <v>692507.26192838699</v>
      </c>
      <c r="S99">
        <f ca="1"/>
        <v>7573519.7720928304</v>
      </c>
      <c r="T99">
        <f ca="1"/>
        <v>337.62054443359301</v>
      </c>
      <c r="U99">
        <f ca="1"/>
        <v>692507.26192838699</v>
      </c>
      <c r="V99">
        <f ca="1"/>
        <v>7573519.7720928304</v>
      </c>
      <c r="W99">
        <f ca="1"/>
        <v>337.62054443359301</v>
      </c>
      <c r="X99">
        <f ca="1"/>
        <v>692464.72444369295</v>
      </c>
      <c r="Y99">
        <f ca="1"/>
        <v>7573513.2707305402</v>
      </c>
      <c r="Z99">
        <f ca="1"/>
        <v>336.73544311523398</v>
      </c>
      <c r="AA99">
        <f ca="1"/>
        <v>1</v>
      </c>
      <c r="AB99">
        <f ca="1"/>
        <v>0.9</v>
      </c>
      <c r="AC99">
        <f ca="1"/>
        <v>2.44</v>
      </c>
      <c r="AD99">
        <f ca="1"/>
        <v>1.6</v>
      </c>
      <c r="AE99">
        <f ca="1"/>
        <v>2.44</v>
      </c>
    </row>
    <row r="100" spans="1:31" x14ac:dyDescent="0.25">
      <c r="A100">
        <f ca="1"/>
        <v>99</v>
      </c>
      <c r="B100">
        <f ca="1"/>
        <v>2</v>
      </c>
      <c r="C100">
        <f ca="1"/>
        <v>24</v>
      </c>
      <c r="D100" s="17">
        <f ca="1"/>
        <v>692508.18474936706</v>
      </c>
      <c r="E100" s="17">
        <f ca="1"/>
        <v>7573521.1473024283</v>
      </c>
      <c r="F100">
        <f ca="1"/>
        <v>337.52054443359299</v>
      </c>
      <c r="G100">
        <f ca="1"/>
        <v>0</v>
      </c>
      <c r="H100">
        <f ca="1"/>
        <v>0</v>
      </c>
      <c r="I100" t="str">
        <f ca="1"/>
        <v>MIN NO MERGE</v>
      </c>
      <c r="J100">
        <f ca="1"/>
        <v>13</v>
      </c>
      <c r="K100" t="str">
        <f ca="1"/>
        <v>R-17b</v>
      </c>
      <c r="L100" t="str">
        <f ca="1"/>
        <v>R-17b</v>
      </c>
      <c r="M100">
        <f ca="1"/>
        <v>0</v>
      </c>
      <c r="N100">
        <f ca="1"/>
        <v>0.15166475373887511</v>
      </c>
      <c r="O100">
        <f ca="1"/>
        <v>0.15166475373887511</v>
      </c>
      <c r="P100">
        <f ca="1"/>
        <v>-2.989927899850918</v>
      </c>
      <c r="Q100">
        <f ca="1"/>
        <v>1.5707963267948966</v>
      </c>
      <c r="R100">
        <f ca="1"/>
        <v>692507.26192838699</v>
      </c>
      <c r="S100">
        <f ca="1"/>
        <v>7573519.7720928304</v>
      </c>
      <c r="T100">
        <f ca="1"/>
        <v>337.62054443359301</v>
      </c>
      <c r="U100">
        <f ca="1"/>
        <v>692507.26192838699</v>
      </c>
      <c r="V100">
        <f ca="1"/>
        <v>7573519.7720928304</v>
      </c>
      <c r="W100">
        <f ca="1"/>
        <v>337.62054443359301</v>
      </c>
      <c r="X100">
        <f ca="1"/>
        <v>692464.72444369295</v>
      </c>
      <c r="Y100">
        <f ca="1"/>
        <v>7573513.2707305402</v>
      </c>
      <c r="Z100">
        <f ca="1"/>
        <v>336.73544311523398</v>
      </c>
      <c r="AA100">
        <f ca="1"/>
        <v>1</v>
      </c>
      <c r="AB100">
        <f ca="1"/>
        <v>0.9</v>
      </c>
      <c r="AC100">
        <f ca="1"/>
        <v>2.44</v>
      </c>
      <c r="AD100">
        <f ca="1"/>
        <v>1.6</v>
      </c>
      <c r="AE100">
        <f ca="1"/>
        <v>2.44</v>
      </c>
    </row>
    <row r="101" spans="1:31" x14ac:dyDescent="0.25">
      <c r="A101">
        <f ca="1"/>
        <v>100</v>
      </c>
      <c r="B101">
        <f ca="1"/>
        <v>3</v>
      </c>
      <c r="C101">
        <f ca="1"/>
        <v>24</v>
      </c>
      <c r="D101" s="17">
        <f ca="1"/>
        <v>692506.60311587877</v>
      </c>
      <c r="E101" s="17">
        <f ca="1"/>
        <v>7573520.9055680521</v>
      </c>
      <c r="F101">
        <f ca="1"/>
        <v>337.52054443359299</v>
      </c>
      <c r="G101">
        <f ca="1"/>
        <v>0</v>
      </c>
      <c r="H101">
        <f ca="1"/>
        <v>0</v>
      </c>
      <c r="I101" t="str">
        <f ca="1"/>
        <v>MIN NO MERGE</v>
      </c>
      <c r="J101">
        <f ca="1"/>
        <v>13</v>
      </c>
      <c r="K101" t="str">
        <f ca="1"/>
        <v>R-17b</v>
      </c>
      <c r="L101" t="str">
        <f ca="1"/>
        <v>R-17b</v>
      </c>
      <c r="M101">
        <f ca="1"/>
        <v>0</v>
      </c>
      <c r="N101">
        <f ca="1"/>
        <v>0.15166475373887511</v>
      </c>
      <c r="O101">
        <f ca="1"/>
        <v>0.15166475373887511</v>
      </c>
      <c r="P101">
        <f ca="1"/>
        <v>-2.989927899850918</v>
      </c>
      <c r="Q101">
        <f ca="1"/>
        <v>1.5707963267948966</v>
      </c>
      <c r="R101">
        <f ca="1"/>
        <v>692507.26192838699</v>
      </c>
      <c r="S101">
        <f ca="1"/>
        <v>7573519.7720928304</v>
      </c>
      <c r="T101">
        <f ca="1"/>
        <v>337.62054443359301</v>
      </c>
      <c r="U101">
        <f ca="1"/>
        <v>692507.26192838699</v>
      </c>
      <c r="V101">
        <f ca="1"/>
        <v>7573519.7720928304</v>
      </c>
      <c r="W101">
        <f ca="1"/>
        <v>337.62054443359301</v>
      </c>
      <c r="X101">
        <f ca="1"/>
        <v>692464.72444369295</v>
      </c>
      <c r="Y101">
        <f ca="1"/>
        <v>7573513.2707305402</v>
      </c>
      <c r="Z101">
        <f ca="1"/>
        <v>336.73544311523398</v>
      </c>
      <c r="AA101">
        <f ca="1"/>
        <v>1</v>
      </c>
      <c r="AB101">
        <f ca="1"/>
        <v>0.9</v>
      </c>
      <c r="AC101">
        <f ca="1"/>
        <v>2.44</v>
      </c>
      <c r="AD101">
        <f ca="1"/>
        <v>1.6</v>
      </c>
      <c r="AE101">
        <f ca="1"/>
        <v>2.44</v>
      </c>
    </row>
    <row r="102" spans="1:31" x14ac:dyDescent="0.25">
      <c r="A102">
        <f ca="1"/>
        <v>101</v>
      </c>
      <c r="B102">
        <f ca="1"/>
        <v>0</v>
      </c>
      <c r="C102">
        <f ca="1"/>
        <v>25</v>
      </c>
      <c r="D102" s="17">
        <f ca="1"/>
        <v>692465.01461127773</v>
      </c>
      <c r="E102" s="17">
        <f ca="1"/>
        <v>7573514.5492463876</v>
      </c>
      <c r="F102">
        <f ca="1"/>
        <v>336.63544311523395</v>
      </c>
      <c r="G102">
        <f ca="1"/>
        <v>0</v>
      </c>
      <c r="H102">
        <f ca="1"/>
        <v>0</v>
      </c>
      <c r="I102" t="str">
        <f ca="1"/>
        <v>MIN NO MERGE</v>
      </c>
      <c r="J102">
        <f ca="1"/>
        <v>13</v>
      </c>
      <c r="K102" t="str">
        <f ca="1"/>
        <v>R-17b</v>
      </c>
      <c r="L102" t="str">
        <f ca="1"/>
        <v>R-17b</v>
      </c>
      <c r="M102">
        <f ca="1"/>
        <v>1</v>
      </c>
      <c r="N102">
        <f ca="1"/>
        <v>-2.989927899850918</v>
      </c>
      <c r="O102">
        <f ca="1"/>
        <v>-2.989927899850918</v>
      </c>
      <c r="P102">
        <f ca="1"/>
        <v>-2.989927899850918</v>
      </c>
      <c r="Q102">
        <f ca="1"/>
        <v>1.5707963267948966</v>
      </c>
      <c r="R102">
        <f ca="1"/>
        <v>692464.72444369295</v>
      </c>
      <c r="S102">
        <f ca="1"/>
        <v>7573513.2707305402</v>
      </c>
      <c r="T102">
        <f ca="1"/>
        <v>336.73544311523398</v>
      </c>
      <c r="U102">
        <f ca="1"/>
        <v>692507.26192838699</v>
      </c>
      <c r="V102">
        <f ca="1"/>
        <v>7573519.7720928304</v>
      </c>
      <c r="W102">
        <f ca="1"/>
        <v>337.62054443359301</v>
      </c>
      <c r="X102">
        <f ca="1"/>
        <v>692464.72444369295</v>
      </c>
      <c r="Y102">
        <f ca="1"/>
        <v>7573513.2707305402</v>
      </c>
      <c r="Z102">
        <f ca="1"/>
        <v>336.73544311523398</v>
      </c>
      <c r="AA102">
        <f ca="1"/>
        <v>1</v>
      </c>
      <c r="AB102">
        <f ca="1"/>
        <v>0.9</v>
      </c>
      <c r="AC102">
        <f ca="1"/>
        <v>2.44</v>
      </c>
      <c r="AD102">
        <f ca="1"/>
        <v>1.6</v>
      </c>
      <c r="AE102">
        <f ca="1"/>
        <v>2.44</v>
      </c>
    </row>
    <row r="103" spans="1:31" x14ac:dyDescent="0.25">
      <c r="A103">
        <f ca="1"/>
        <v>102</v>
      </c>
      <c r="B103">
        <f ca="1"/>
        <v>1</v>
      </c>
      <c r="C103">
        <f ca="1"/>
        <v>25</v>
      </c>
      <c r="D103" s="17">
        <f ca="1"/>
        <v>692463.43297778943</v>
      </c>
      <c r="E103" s="17">
        <f ca="1"/>
        <v>7573514.3075120114</v>
      </c>
      <c r="F103">
        <f ca="1"/>
        <v>336.63544311523395</v>
      </c>
      <c r="G103">
        <f ca="1"/>
        <v>0</v>
      </c>
      <c r="H103">
        <f ca="1"/>
        <v>0</v>
      </c>
      <c r="I103" t="str">
        <f ca="1"/>
        <v>MIN NO MERGE</v>
      </c>
      <c r="J103">
        <f ca="1"/>
        <v>13</v>
      </c>
      <c r="K103" t="str">
        <f ca="1"/>
        <v>R-17b</v>
      </c>
      <c r="L103" t="str">
        <f ca="1"/>
        <v>R-17b</v>
      </c>
      <c r="M103">
        <f ca="1"/>
        <v>1</v>
      </c>
      <c r="N103">
        <f ca="1"/>
        <v>-2.989927899850918</v>
      </c>
      <c r="O103">
        <f ca="1"/>
        <v>-2.989927899850918</v>
      </c>
      <c r="P103">
        <f ca="1"/>
        <v>-2.989927899850918</v>
      </c>
      <c r="Q103">
        <f ca="1"/>
        <v>1.5707963267948966</v>
      </c>
      <c r="R103">
        <f ca="1"/>
        <v>692464.72444369295</v>
      </c>
      <c r="S103">
        <f ca="1"/>
        <v>7573513.2707305402</v>
      </c>
      <c r="T103">
        <f ca="1"/>
        <v>336.73544311523398</v>
      </c>
      <c r="U103">
        <f ca="1"/>
        <v>692507.26192838699</v>
      </c>
      <c r="V103">
        <f ca="1"/>
        <v>7573519.7720928304</v>
      </c>
      <c r="W103">
        <f ca="1"/>
        <v>337.62054443359301</v>
      </c>
      <c r="X103">
        <f ca="1"/>
        <v>692464.72444369295</v>
      </c>
      <c r="Y103">
        <f ca="1"/>
        <v>7573513.2707305402</v>
      </c>
      <c r="Z103">
        <f ca="1"/>
        <v>336.73544311523398</v>
      </c>
      <c r="AA103">
        <f ca="1"/>
        <v>1</v>
      </c>
      <c r="AB103">
        <f ca="1"/>
        <v>0.9</v>
      </c>
      <c r="AC103">
        <f ca="1"/>
        <v>2.44</v>
      </c>
      <c r="AD103">
        <f ca="1"/>
        <v>1.6</v>
      </c>
      <c r="AE103">
        <f ca="1"/>
        <v>2.44</v>
      </c>
    </row>
    <row r="104" spans="1:31" x14ac:dyDescent="0.25">
      <c r="A104">
        <f ca="1"/>
        <v>103</v>
      </c>
      <c r="B104">
        <f ca="1"/>
        <v>2</v>
      </c>
      <c r="C104">
        <f ca="1"/>
        <v>25</v>
      </c>
      <c r="D104" s="17">
        <f ca="1"/>
        <v>692463.80162271287</v>
      </c>
      <c r="E104" s="17">
        <f ca="1"/>
        <v>7573511.8955209423</v>
      </c>
      <c r="F104">
        <f ca="1"/>
        <v>336.63544311523395</v>
      </c>
      <c r="G104">
        <f ca="1"/>
        <v>0</v>
      </c>
      <c r="H104">
        <f ca="1"/>
        <v>0</v>
      </c>
      <c r="I104" t="str">
        <f ca="1"/>
        <v>MIN NO MERGE</v>
      </c>
      <c r="J104">
        <f ca="1"/>
        <v>13</v>
      </c>
      <c r="K104" t="str">
        <f ca="1"/>
        <v>R-17b</v>
      </c>
      <c r="L104" t="str">
        <f ca="1"/>
        <v>R-17b</v>
      </c>
      <c r="M104">
        <f ca="1"/>
        <v>1</v>
      </c>
      <c r="N104">
        <f ca="1"/>
        <v>-2.989927899850918</v>
      </c>
      <c r="O104">
        <f ca="1"/>
        <v>-2.989927899850918</v>
      </c>
      <c r="P104">
        <f ca="1"/>
        <v>-2.989927899850918</v>
      </c>
      <c r="Q104">
        <f ca="1"/>
        <v>1.5707963267948966</v>
      </c>
      <c r="R104">
        <f ca="1"/>
        <v>692464.72444369295</v>
      </c>
      <c r="S104">
        <f ca="1"/>
        <v>7573513.2707305402</v>
      </c>
      <c r="T104">
        <f ca="1"/>
        <v>336.73544311523398</v>
      </c>
      <c r="U104">
        <f ca="1"/>
        <v>692507.26192838699</v>
      </c>
      <c r="V104">
        <f ca="1"/>
        <v>7573519.7720928304</v>
      </c>
      <c r="W104">
        <f ca="1"/>
        <v>337.62054443359301</v>
      </c>
      <c r="X104">
        <f ca="1"/>
        <v>692464.72444369295</v>
      </c>
      <c r="Y104">
        <f ca="1"/>
        <v>7573513.2707305402</v>
      </c>
      <c r="Z104">
        <f ca="1"/>
        <v>336.73544311523398</v>
      </c>
      <c r="AA104">
        <f ca="1"/>
        <v>1</v>
      </c>
      <c r="AB104">
        <f ca="1"/>
        <v>0.9</v>
      </c>
      <c r="AC104">
        <f ca="1"/>
        <v>2.44</v>
      </c>
      <c r="AD104">
        <f ca="1"/>
        <v>1.6</v>
      </c>
      <c r="AE104">
        <f ca="1"/>
        <v>2.44</v>
      </c>
    </row>
    <row r="105" spans="1:31" x14ac:dyDescent="0.25">
      <c r="A105">
        <f ca="1"/>
        <v>104</v>
      </c>
      <c r="B105">
        <f ca="1"/>
        <v>3</v>
      </c>
      <c r="C105">
        <f ca="1"/>
        <v>25</v>
      </c>
      <c r="D105" s="17">
        <f ca="1"/>
        <v>692465.38325620117</v>
      </c>
      <c r="E105" s="17">
        <f ca="1"/>
        <v>7573512.1372553185</v>
      </c>
      <c r="F105">
        <f ca="1"/>
        <v>336.63544311523395</v>
      </c>
      <c r="G105">
        <f ca="1"/>
        <v>0</v>
      </c>
      <c r="H105">
        <f ca="1"/>
        <v>0</v>
      </c>
      <c r="I105" t="str">
        <f ca="1"/>
        <v>MIN NO MERGE</v>
      </c>
      <c r="J105">
        <f ca="1"/>
        <v>13</v>
      </c>
      <c r="K105" t="str">
        <f ca="1"/>
        <v>R-17b</v>
      </c>
      <c r="L105" t="str">
        <f ca="1"/>
        <v>R-17b</v>
      </c>
      <c r="M105">
        <f ca="1"/>
        <v>1</v>
      </c>
      <c r="N105">
        <f ca="1"/>
        <v>-2.989927899850918</v>
      </c>
      <c r="O105">
        <f ca="1"/>
        <v>-2.989927899850918</v>
      </c>
      <c r="P105">
        <f ca="1"/>
        <v>-2.989927899850918</v>
      </c>
      <c r="Q105">
        <f ca="1"/>
        <v>1.5707963267948966</v>
      </c>
      <c r="R105">
        <f ca="1"/>
        <v>692464.72444369295</v>
      </c>
      <c r="S105">
        <f ca="1"/>
        <v>7573513.2707305402</v>
      </c>
      <c r="T105">
        <f ca="1"/>
        <v>336.73544311523398</v>
      </c>
      <c r="U105">
        <f ca="1"/>
        <v>692507.26192838699</v>
      </c>
      <c r="V105">
        <f ca="1"/>
        <v>7573519.7720928304</v>
      </c>
      <c r="W105">
        <f ca="1"/>
        <v>337.62054443359301</v>
      </c>
      <c r="X105">
        <f ca="1"/>
        <v>692464.72444369295</v>
      </c>
      <c r="Y105">
        <f ca="1"/>
        <v>7573513.2707305402</v>
      </c>
      <c r="Z105">
        <f ca="1"/>
        <v>336.73544311523398</v>
      </c>
      <c r="AA105">
        <f ca="1"/>
        <v>1</v>
      </c>
      <c r="AB105">
        <f ca="1"/>
        <v>0.9</v>
      </c>
      <c r="AC105">
        <f ca="1"/>
        <v>2.44</v>
      </c>
      <c r="AD105">
        <f ca="1"/>
        <v>1.6</v>
      </c>
      <c r="AE105">
        <f ca="1"/>
        <v>2.44</v>
      </c>
    </row>
    <row r="106" spans="1:31" x14ac:dyDescent="0.25">
      <c r="A106">
        <f ca="1"/>
        <v>105</v>
      </c>
      <c r="B106">
        <f ca="1"/>
        <v>0</v>
      </c>
      <c r="C106">
        <f ca="1"/>
        <v>26</v>
      </c>
      <c r="D106" s="17">
        <f ca="1"/>
        <v>693234.40986188478</v>
      </c>
      <c r="E106" s="17">
        <f ca="1"/>
        <v>7574679.0956959091</v>
      </c>
      <c r="F106">
        <f ca="1"/>
        <v>326.01297607421799</v>
      </c>
      <c r="G106">
        <f ca="1"/>
        <v>0</v>
      </c>
      <c r="H106">
        <f ca="1"/>
        <v>0</v>
      </c>
      <c r="I106" t="str">
        <f ca="1"/>
        <v>MIN NO MERGE</v>
      </c>
      <c r="J106">
        <f ca="1"/>
        <v>14</v>
      </c>
      <c r="K106" t="str">
        <f ca="1"/>
        <v>R-18</v>
      </c>
      <c r="L106" t="str">
        <f ca="1"/>
        <v>R-18</v>
      </c>
      <c r="M106">
        <f ca="1"/>
        <v>0</v>
      </c>
      <c r="N106">
        <f ca="1"/>
        <v>-0.96850898079786951</v>
      </c>
      <c r="O106">
        <f ca="1"/>
        <v>-0.96850898079786951</v>
      </c>
      <c r="P106">
        <f ca="1"/>
        <v>2.1730836727919236</v>
      </c>
      <c r="Q106">
        <f ca="1"/>
        <v>1.5707963267948966</v>
      </c>
      <c r="R106">
        <f ca="1"/>
        <v>693238.80200534104</v>
      </c>
      <c r="S106">
        <f ca="1"/>
        <v>7574681.5327998996</v>
      </c>
      <c r="T106">
        <f ca="1"/>
        <v>326.11297607421801</v>
      </c>
      <c r="U106">
        <f ca="1"/>
        <v>693238.80200534104</v>
      </c>
      <c r="V106">
        <f ca="1"/>
        <v>7574681.5327998996</v>
      </c>
      <c r="W106">
        <f ca="1"/>
        <v>326.11297607421801</v>
      </c>
      <c r="X106">
        <f ca="1"/>
        <v>693222.05678410595</v>
      </c>
      <c r="Y106">
        <f ca="1"/>
        <v>7574705.8894853396</v>
      </c>
      <c r="Z106">
        <f ca="1"/>
        <v>326.04397583007801</v>
      </c>
      <c r="AA106">
        <f ca="1"/>
        <v>5</v>
      </c>
      <c r="AB106">
        <f ca="1"/>
        <v>1.2</v>
      </c>
      <c r="AC106">
        <f ca="1"/>
        <v>10</v>
      </c>
      <c r="AD106">
        <f ca="1"/>
        <v>1.6</v>
      </c>
      <c r="AE106">
        <f ca="1"/>
        <v>10</v>
      </c>
    </row>
    <row r="107" spans="1:31" x14ac:dyDescent="0.25">
      <c r="A107">
        <f ca="1"/>
        <v>106</v>
      </c>
      <c r="B107">
        <f ca="1"/>
        <v>1</v>
      </c>
      <c r="C107">
        <f ca="1"/>
        <v>26</v>
      </c>
      <c r="D107" s="17">
        <f ca="1"/>
        <v>693235.31630800117</v>
      </c>
      <c r="E107" s="17">
        <f ca="1"/>
        <v>7574677.7772288304</v>
      </c>
      <c r="F107">
        <f ca="1"/>
        <v>326.01297607421799</v>
      </c>
      <c r="G107">
        <f ca="1"/>
        <v>0</v>
      </c>
      <c r="H107">
        <f ca="1"/>
        <v>0</v>
      </c>
      <c r="I107" t="str">
        <f ca="1"/>
        <v>MIN NO MERGE</v>
      </c>
      <c r="J107">
        <f ca="1"/>
        <v>14</v>
      </c>
      <c r="K107" t="str">
        <f ca="1"/>
        <v>R-18</v>
      </c>
      <c r="L107" t="str">
        <f ca="1"/>
        <v>R-18</v>
      </c>
      <c r="M107">
        <f ca="1"/>
        <v>0</v>
      </c>
      <c r="N107">
        <f ca="1"/>
        <v>-0.96850898079786951</v>
      </c>
      <c r="O107">
        <f ca="1"/>
        <v>-0.96850898079786951</v>
      </c>
      <c r="P107">
        <f ca="1"/>
        <v>2.1730836727919236</v>
      </c>
      <c r="Q107">
        <f ca="1"/>
        <v>1.5707963267948966</v>
      </c>
      <c r="R107">
        <f ca="1"/>
        <v>693238.80200534104</v>
      </c>
      <c r="S107">
        <f ca="1"/>
        <v>7574681.5327998996</v>
      </c>
      <c r="T107">
        <f ca="1"/>
        <v>326.11297607421801</v>
      </c>
      <c r="U107">
        <f ca="1"/>
        <v>693238.80200534104</v>
      </c>
      <c r="V107">
        <f ca="1"/>
        <v>7574681.5327998996</v>
      </c>
      <c r="W107">
        <f ca="1"/>
        <v>326.11297607421801</v>
      </c>
      <c r="X107">
        <f ca="1"/>
        <v>693222.05678410595</v>
      </c>
      <c r="Y107">
        <f ca="1"/>
        <v>7574705.8894853396</v>
      </c>
      <c r="Z107">
        <f ca="1"/>
        <v>326.04397583007801</v>
      </c>
      <c r="AA107">
        <f ca="1"/>
        <v>5</v>
      </c>
      <c r="AB107">
        <f ca="1"/>
        <v>1.2</v>
      </c>
      <c r="AC107">
        <f ca="1"/>
        <v>10</v>
      </c>
      <c r="AD107">
        <f ca="1"/>
        <v>1.6</v>
      </c>
      <c r="AE107">
        <f ca="1"/>
        <v>10</v>
      </c>
    </row>
    <row r="108" spans="1:31" x14ac:dyDescent="0.25">
      <c r="A108">
        <f ca="1"/>
        <v>107</v>
      </c>
      <c r="B108">
        <f ca="1"/>
        <v>2</v>
      </c>
      <c r="C108">
        <f ca="1"/>
        <v>26</v>
      </c>
      <c r="D108" s="17">
        <f ca="1"/>
        <v>693243.55672724394</v>
      </c>
      <c r="E108" s="17">
        <f ca="1"/>
        <v>7574683.4425170589</v>
      </c>
      <c r="F108">
        <f ca="1"/>
        <v>326.01297607421799</v>
      </c>
      <c r="G108">
        <f ca="1"/>
        <v>0</v>
      </c>
      <c r="H108">
        <f ca="1"/>
        <v>0</v>
      </c>
      <c r="I108" t="str">
        <f ca="1"/>
        <v>MIN NO MERGE</v>
      </c>
      <c r="J108">
        <f ca="1"/>
        <v>14</v>
      </c>
      <c r="K108" t="str">
        <f ca="1"/>
        <v>R-18</v>
      </c>
      <c r="L108" t="str">
        <f ca="1"/>
        <v>R-18</v>
      </c>
      <c r="M108">
        <f ca="1"/>
        <v>0</v>
      </c>
      <c r="N108">
        <f ca="1"/>
        <v>-0.96850898079786951</v>
      </c>
      <c r="O108">
        <f ca="1"/>
        <v>-0.96850898079786951</v>
      </c>
      <c r="P108">
        <f ca="1"/>
        <v>2.1730836727919236</v>
      </c>
      <c r="Q108">
        <f ca="1"/>
        <v>1.5707963267948966</v>
      </c>
      <c r="R108">
        <f ca="1"/>
        <v>693238.80200534104</v>
      </c>
      <c r="S108">
        <f ca="1"/>
        <v>7574681.5327998996</v>
      </c>
      <c r="T108">
        <f ca="1"/>
        <v>326.11297607421801</v>
      </c>
      <c r="U108">
        <f ca="1"/>
        <v>693238.80200534104</v>
      </c>
      <c r="V108">
        <f ca="1"/>
        <v>7574681.5327998996</v>
      </c>
      <c r="W108">
        <f ca="1"/>
        <v>326.11297607421801</v>
      </c>
      <c r="X108">
        <f ca="1"/>
        <v>693222.05678410595</v>
      </c>
      <c r="Y108">
        <f ca="1"/>
        <v>7574705.8894853396</v>
      </c>
      <c r="Z108">
        <f ca="1"/>
        <v>326.04397583007801</v>
      </c>
      <c r="AA108">
        <f ca="1"/>
        <v>5</v>
      </c>
      <c r="AB108">
        <f ca="1"/>
        <v>1.2</v>
      </c>
      <c r="AC108">
        <f ca="1"/>
        <v>10</v>
      </c>
      <c r="AD108">
        <f ca="1"/>
        <v>1.6</v>
      </c>
      <c r="AE108">
        <f ca="1"/>
        <v>10</v>
      </c>
    </row>
    <row r="109" spans="1:31" x14ac:dyDescent="0.25">
      <c r="A109">
        <f ca="1"/>
        <v>108</v>
      </c>
      <c r="B109">
        <f ca="1"/>
        <v>3</v>
      </c>
      <c r="C109">
        <f ca="1"/>
        <v>26</v>
      </c>
      <c r="D109" s="17">
        <f ca="1"/>
        <v>693242.65028112754</v>
      </c>
      <c r="E109" s="17">
        <f ca="1"/>
        <v>7574684.7609841377</v>
      </c>
      <c r="F109">
        <f ca="1"/>
        <v>326.01297607421799</v>
      </c>
      <c r="G109">
        <f ca="1"/>
        <v>0</v>
      </c>
      <c r="H109">
        <f ca="1"/>
        <v>0</v>
      </c>
      <c r="I109" t="str">
        <f ca="1"/>
        <v>MIN NO MERGE</v>
      </c>
      <c r="J109">
        <f ca="1"/>
        <v>14</v>
      </c>
      <c r="K109" t="str">
        <f ca="1"/>
        <v>R-18</v>
      </c>
      <c r="L109" t="str">
        <f ca="1"/>
        <v>R-18</v>
      </c>
      <c r="M109">
        <f ca="1"/>
        <v>0</v>
      </c>
      <c r="N109">
        <f ca="1"/>
        <v>-0.96850898079786951</v>
      </c>
      <c r="O109">
        <f ca="1"/>
        <v>-0.96850898079786951</v>
      </c>
      <c r="P109">
        <f ca="1"/>
        <v>2.1730836727919236</v>
      </c>
      <c r="Q109">
        <f ca="1"/>
        <v>1.5707963267948966</v>
      </c>
      <c r="R109">
        <f ca="1"/>
        <v>693238.80200534104</v>
      </c>
      <c r="S109">
        <f ca="1"/>
        <v>7574681.5327998996</v>
      </c>
      <c r="T109">
        <f ca="1"/>
        <v>326.11297607421801</v>
      </c>
      <c r="U109">
        <f ca="1"/>
        <v>693238.80200534104</v>
      </c>
      <c r="V109">
        <f ca="1"/>
        <v>7574681.5327998996</v>
      </c>
      <c r="W109">
        <f ca="1"/>
        <v>326.11297607421801</v>
      </c>
      <c r="X109">
        <f ca="1"/>
        <v>693222.05678410595</v>
      </c>
      <c r="Y109">
        <f ca="1"/>
        <v>7574705.8894853396</v>
      </c>
      <c r="Z109">
        <f ca="1"/>
        <v>326.04397583007801</v>
      </c>
      <c r="AA109">
        <f ca="1"/>
        <v>5</v>
      </c>
      <c r="AB109">
        <f ca="1"/>
        <v>1.2</v>
      </c>
      <c r="AC109">
        <f ca="1"/>
        <v>10</v>
      </c>
      <c r="AD109">
        <f ca="1"/>
        <v>1.6</v>
      </c>
      <c r="AE109">
        <f ca="1"/>
        <v>10</v>
      </c>
    </row>
    <row r="110" spans="1:31" x14ac:dyDescent="0.25">
      <c r="A110">
        <f ca="1"/>
        <v>109</v>
      </c>
      <c r="B110">
        <f ca="1"/>
        <v>0</v>
      </c>
      <c r="C110">
        <f ca="1"/>
        <v>27</v>
      </c>
      <c r="D110" s="17">
        <f ca="1"/>
        <v>693226.44892756222</v>
      </c>
      <c r="E110" s="17">
        <f ca="1"/>
        <v>7574708.3265893301</v>
      </c>
      <c r="F110">
        <f ca="1"/>
        <v>325.94397583007799</v>
      </c>
      <c r="G110">
        <f ca="1"/>
        <v>0</v>
      </c>
      <c r="H110">
        <f ca="1"/>
        <v>0</v>
      </c>
      <c r="I110" t="str">
        <f ca="1"/>
        <v>MIN NO MERGE</v>
      </c>
      <c r="J110">
        <f ca="1"/>
        <v>14</v>
      </c>
      <c r="K110" t="str">
        <f ca="1"/>
        <v>R-18</v>
      </c>
      <c r="L110" t="str">
        <f ca="1"/>
        <v>R-18</v>
      </c>
      <c r="M110">
        <f ca="1"/>
        <v>1</v>
      </c>
      <c r="N110">
        <f ca="1"/>
        <v>2.1730836727919236</v>
      </c>
      <c r="O110">
        <f ca="1"/>
        <v>2.1730836727919236</v>
      </c>
      <c r="P110">
        <f ca="1"/>
        <v>2.1730836727919236</v>
      </c>
      <c r="Q110">
        <f ca="1"/>
        <v>1.5707963267948966</v>
      </c>
      <c r="R110">
        <f ca="1"/>
        <v>693222.05678410595</v>
      </c>
      <c r="S110">
        <f ca="1"/>
        <v>7574705.8894853396</v>
      </c>
      <c r="T110">
        <f ca="1"/>
        <v>326.04397583007801</v>
      </c>
      <c r="U110">
        <f ca="1"/>
        <v>693238.80200534104</v>
      </c>
      <c r="V110">
        <f ca="1"/>
        <v>7574681.5327998996</v>
      </c>
      <c r="W110">
        <f ca="1"/>
        <v>326.11297607421801</v>
      </c>
      <c r="X110">
        <f ca="1"/>
        <v>693222.05678410595</v>
      </c>
      <c r="Y110">
        <f ca="1"/>
        <v>7574705.8894853396</v>
      </c>
      <c r="Z110">
        <f ca="1"/>
        <v>326.04397583007801</v>
      </c>
      <c r="AA110">
        <f ca="1"/>
        <v>5</v>
      </c>
      <c r="AB110">
        <f ca="1"/>
        <v>1.2</v>
      </c>
      <c r="AC110">
        <f ca="1"/>
        <v>10</v>
      </c>
      <c r="AD110">
        <f ca="1"/>
        <v>1.6</v>
      </c>
      <c r="AE110">
        <f ca="1"/>
        <v>10</v>
      </c>
    </row>
    <row r="111" spans="1:31" x14ac:dyDescent="0.25">
      <c r="A111">
        <f ca="1"/>
        <v>110</v>
      </c>
      <c r="B111">
        <f ca="1"/>
        <v>1</v>
      </c>
      <c r="C111">
        <f ca="1"/>
        <v>27</v>
      </c>
      <c r="D111" s="17">
        <f ca="1"/>
        <v>693225.54248144582</v>
      </c>
      <c r="E111" s="17">
        <f ca="1"/>
        <v>7574709.6450564088</v>
      </c>
      <c r="F111">
        <f ca="1"/>
        <v>325.94397583007799</v>
      </c>
      <c r="G111">
        <f ca="1"/>
        <v>0</v>
      </c>
      <c r="H111">
        <f ca="1"/>
        <v>0</v>
      </c>
      <c r="I111" t="str">
        <f ca="1"/>
        <v>MIN NO MERGE</v>
      </c>
      <c r="J111">
        <f ca="1"/>
        <v>14</v>
      </c>
      <c r="K111" t="str">
        <f ca="1"/>
        <v>R-18</v>
      </c>
      <c r="L111" t="str">
        <f ca="1"/>
        <v>R-18</v>
      </c>
      <c r="M111">
        <f ca="1"/>
        <v>1</v>
      </c>
      <c r="N111">
        <f ca="1"/>
        <v>2.1730836727919236</v>
      </c>
      <c r="O111">
        <f ca="1"/>
        <v>2.1730836727919236</v>
      </c>
      <c r="P111">
        <f ca="1"/>
        <v>2.1730836727919236</v>
      </c>
      <c r="Q111">
        <f ca="1"/>
        <v>1.5707963267948966</v>
      </c>
      <c r="R111">
        <f ca="1"/>
        <v>693222.05678410595</v>
      </c>
      <c r="S111">
        <f ca="1"/>
        <v>7574705.8894853396</v>
      </c>
      <c r="T111">
        <f ca="1"/>
        <v>326.04397583007801</v>
      </c>
      <c r="U111">
        <f ca="1"/>
        <v>693238.80200534104</v>
      </c>
      <c r="V111">
        <f ca="1"/>
        <v>7574681.5327998996</v>
      </c>
      <c r="W111">
        <f ca="1"/>
        <v>326.11297607421801</v>
      </c>
      <c r="X111">
        <f ca="1"/>
        <v>693222.05678410595</v>
      </c>
      <c r="Y111">
        <f ca="1"/>
        <v>7574705.8894853396</v>
      </c>
      <c r="Z111">
        <f ca="1"/>
        <v>326.04397583007801</v>
      </c>
      <c r="AA111">
        <f ca="1"/>
        <v>5</v>
      </c>
      <c r="AB111">
        <f ca="1"/>
        <v>1.2</v>
      </c>
      <c r="AC111">
        <f ca="1"/>
        <v>10</v>
      </c>
      <c r="AD111">
        <f ca="1"/>
        <v>1.6</v>
      </c>
      <c r="AE111">
        <f ca="1"/>
        <v>10</v>
      </c>
    </row>
    <row r="112" spans="1:31" x14ac:dyDescent="0.25">
      <c r="A112">
        <f ca="1"/>
        <v>111</v>
      </c>
      <c r="B112">
        <f ca="1"/>
        <v>2</v>
      </c>
      <c r="C112">
        <f ca="1"/>
        <v>27</v>
      </c>
      <c r="D112" s="17">
        <f ca="1"/>
        <v>693217.30206220306</v>
      </c>
      <c r="E112" s="17">
        <f ca="1"/>
        <v>7574703.9797681803</v>
      </c>
      <c r="F112">
        <f ca="1"/>
        <v>325.94397583007799</v>
      </c>
      <c r="G112">
        <f ca="1"/>
        <v>0</v>
      </c>
      <c r="H112">
        <f ca="1"/>
        <v>0</v>
      </c>
      <c r="I112" t="str">
        <f ca="1"/>
        <v>MIN NO MERGE</v>
      </c>
      <c r="J112">
        <f ca="1"/>
        <v>14</v>
      </c>
      <c r="K112" t="str">
        <f ca="1"/>
        <v>R-18</v>
      </c>
      <c r="L112" t="str">
        <f ca="1"/>
        <v>R-18</v>
      </c>
      <c r="M112">
        <f ca="1"/>
        <v>1</v>
      </c>
      <c r="N112">
        <f ca="1"/>
        <v>2.1730836727919236</v>
      </c>
      <c r="O112">
        <f ca="1"/>
        <v>2.1730836727919236</v>
      </c>
      <c r="P112">
        <f ca="1"/>
        <v>2.1730836727919236</v>
      </c>
      <c r="Q112">
        <f ca="1"/>
        <v>1.5707963267948966</v>
      </c>
      <c r="R112">
        <f ca="1"/>
        <v>693222.05678410595</v>
      </c>
      <c r="S112">
        <f ca="1"/>
        <v>7574705.8894853396</v>
      </c>
      <c r="T112">
        <f ca="1"/>
        <v>326.04397583007801</v>
      </c>
      <c r="U112">
        <f ca="1"/>
        <v>693238.80200534104</v>
      </c>
      <c r="V112">
        <f ca="1"/>
        <v>7574681.5327998996</v>
      </c>
      <c r="W112">
        <f ca="1"/>
        <v>326.11297607421801</v>
      </c>
      <c r="X112">
        <f ca="1"/>
        <v>693222.05678410595</v>
      </c>
      <c r="Y112">
        <f ca="1"/>
        <v>7574705.8894853396</v>
      </c>
      <c r="Z112">
        <f ca="1"/>
        <v>326.04397583007801</v>
      </c>
      <c r="AA112">
        <f ca="1"/>
        <v>5</v>
      </c>
      <c r="AB112">
        <f ca="1"/>
        <v>1.2</v>
      </c>
      <c r="AC112">
        <f ca="1"/>
        <v>10</v>
      </c>
      <c r="AD112">
        <f ca="1"/>
        <v>1.6</v>
      </c>
      <c r="AE112">
        <f ca="1"/>
        <v>10</v>
      </c>
    </row>
    <row r="113" spans="1:31" x14ac:dyDescent="0.25">
      <c r="A113">
        <f ca="1"/>
        <v>112</v>
      </c>
      <c r="B113">
        <f ca="1"/>
        <v>3</v>
      </c>
      <c r="C113">
        <f ca="1"/>
        <v>27</v>
      </c>
      <c r="D113" s="17">
        <f ca="1"/>
        <v>693218.20850831945</v>
      </c>
      <c r="E113" s="17">
        <f ca="1"/>
        <v>7574702.6613011016</v>
      </c>
      <c r="F113">
        <f ca="1"/>
        <v>325.94397583007799</v>
      </c>
      <c r="G113">
        <f ca="1"/>
        <v>0</v>
      </c>
      <c r="H113">
        <f ca="1"/>
        <v>0</v>
      </c>
      <c r="I113" t="str">
        <f ca="1"/>
        <v>MIN NO MERGE</v>
      </c>
      <c r="J113">
        <f ca="1"/>
        <v>14</v>
      </c>
      <c r="K113" t="str">
        <f ca="1"/>
        <v>R-18</v>
      </c>
      <c r="L113" t="str">
        <f ca="1"/>
        <v>R-18</v>
      </c>
      <c r="M113">
        <f ca="1"/>
        <v>1</v>
      </c>
      <c r="N113">
        <f ca="1"/>
        <v>2.1730836727919236</v>
      </c>
      <c r="O113">
        <f ca="1"/>
        <v>2.1730836727919236</v>
      </c>
      <c r="P113">
        <f ca="1"/>
        <v>2.1730836727919236</v>
      </c>
      <c r="Q113">
        <f ca="1"/>
        <v>1.5707963267948966</v>
      </c>
      <c r="R113">
        <f ca="1"/>
        <v>693222.05678410595</v>
      </c>
      <c r="S113">
        <f ca="1"/>
        <v>7574705.8894853396</v>
      </c>
      <c r="T113">
        <f ca="1"/>
        <v>326.04397583007801</v>
      </c>
      <c r="U113">
        <f ca="1"/>
        <v>693238.80200534104</v>
      </c>
      <c r="V113">
        <f ca="1"/>
        <v>7574681.5327998996</v>
      </c>
      <c r="W113">
        <f ca="1"/>
        <v>326.11297607421801</v>
      </c>
      <c r="X113">
        <f ca="1"/>
        <v>693222.05678410595</v>
      </c>
      <c r="Y113">
        <f ca="1"/>
        <v>7574705.8894853396</v>
      </c>
      <c r="Z113">
        <f ca="1"/>
        <v>326.04397583007801</v>
      </c>
      <c r="AA113">
        <f ca="1"/>
        <v>5</v>
      </c>
      <c r="AB113">
        <f ca="1"/>
        <v>1.2</v>
      </c>
      <c r="AC113">
        <f ca="1"/>
        <v>10</v>
      </c>
      <c r="AD113">
        <f ca="1"/>
        <v>1.6</v>
      </c>
      <c r="AE113">
        <f ca="1"/>
        <v>10</v>
      </c>
    </row>
    <row r="114" spans="1:31" x14ac:dyDescent="0.25">
      <c r="A114">
        <f ca="1"/>
        <v>113</v>
      </c>
      <c r="B114">
        <f ca="1"/>
        <v>0</v>
      </c>
      <c r="C114">
        <f ca="1"/>
        <v>28</v>
      </c>
      <c r="D114" s="17">
        <f ca="1"/>
        <v>692940.23063786933</v>
      </c>
      <c r="E114" s="17">
        <f ca="1"/>
        <v>7574342.0626708204</v>
      </c>
      <c r="F114">
        <f ca="1"/>
        <v>328.52905883788998</v>
      </c>
      <c r="G114">
        <f ca="1"/>
        <v>0</v>
      </c>
      <c r="H114">
        <f ca="1"/>
        <v>0</v>
      </c>
      <c r="I114" t="str">
        <f ca="1"/>
        <v>MIN NO MERGE</v>
      </c>
      <c r="J114">
        <f ca="1"/>
        <v>15</v>
      </c>
      <c r="K114" t="str">
        <f ca="1"/>
        <v>R-18b</v>
      </c>
      <c r="L114" t="str">
        <f ca="1"/>
        <v>R-18b</v>
      </c>
      <c r="M114">
        <f ca="1"/>
        <v>0</v>
      </c>
      <c r="N114">
        <f ca="1"/>
        <v>-2.8548472494693904</v>
      </c>
      <c r="O114">
        <f ca="1"/>
        <v>-2.8548472494693904</v>
      </c>
      <c r="P114">
        <f ca="1"/>
        <v>0.28674540412040317</v>
      </c>
      <c r="Q114">
        <f ca="1"/>
        <v>1.5707963267948966</v>
      </c>
      <c r="R114">
        <f ca="1"/>
        <v>692940.16620135703</v>
      </c>
      <c r="S114">
        <f ca="1"/>
        <v>7574340.5840742104</v>
      </c>
      <c r="T114">
        <f ca="1"/>
        <v>328.62905883789</v>
      </c>
      <c r="U114">
        <f ca="1"/>
        <v>692940.16620135703</v>
      </c>
      <c r="V114">
        <f ca="1"/>
        <v>7574340.5840742104</v>
      </c>
      <c r="W114">
        <f ca="1"/>
        <v>328.62905883789</v>
      </c>
      <c r="X114">
        <f ca="1"/>
        <v>692998.12120233697</v>
      </c>
      <c r="Y114">
        <f ca="1"/>
        <v>7574357.6733693704</v>
      </c>
      <c r="Z114">
        <f ca="1"/>
        <v>328.225982666015</v>
      </c>
      <c r="AA114">
        <f ca="1"/>
        <v>1</v>
      </c>
      <c r="AB114">
        <f ca="1"/>
        <v>1.2</v>
      </c>
      <c r="AC114">
        <f ca="1"/>
        <v>2.8</v>
      </c>
      <c r="AD114">
        <f ca="1"/>
        <v>1.6</v>
      </c>
      <c r="AE114">
        <f ca="1"/>
        <v>2.8</v>
      </c>
    </row>
    <row r="115" spans="1:31" x14ac:dyDescent="0.25">
      <c r="A115">
        <f ca="1"/>
        <v>114</v>
      </c>
      <c r="B115">
        <f ca="1"/>
        <v>1</v>
      </c>
      <c r="C115">
        <f ca="1"/>
        <v>28</v>
      </c>
      <c r="D115" s="17">
        <f ca="1"/>
        <v>692938.69596673688</v>
      </c>
      <c r="E115" s="17">
        <f ca="1"/>
        <v>7574341.6101395888</v>
      </c>
      <c r="F115">
        <f ca="1"/>
        <v>328.52905883788998</v>
      </c>
      <c r="G115">
        <f ca="1"/>
        <v>0</v>
      </c>
      <c r="H115">
        <f ca="1"/>
        <v>0</v>
      </c>
      <c r="I115" t="str">
        <f ca="1"/>
        <v>MIN NO MERGE</v>
      </c>
      <c r="J115">
        <f ca="1"/>
        <v>15</v>
      </c>
      <c r="K115" t="str">
        <f ca="1"/>
        <v>R-18b</v>
      </c>
      <c r="L115" t="str">
        <f ca="1"/>
        <v>R-18b</v>
      </c>
      <c r="M115">
        <f ca="1"/>
        <v>0</v>
      </c>
      <c r="N115">
        <f ca="1"/>
        <v>-2.8548472494693904</v>
      </c>
      <c r="O115">
        <f ca="1"/>
        <v>-2.8548472494693904</v>
      </c>
      <c r="P115">
        <f ca="1"/>
        <v>0.28674540412040317</v>
      </c>
      <c r="Q115">
        <f ca="1"/>
        <v>1.5707963267948966</v>
      </c>
      <c r="R115">
        <f ca="1"/>
        <v>692940.16620135703</v>
      </c>
      <c r="S115">
        <f ca="1"/>
        <v>7574340.5840742104</v>
      </c>
      <c r="T115">
        <f ca="1"/>
        <v>328.62905883789</v>
      </c>
      <c r="U115">
        <f ca="1"/>
        <v>692940.16620135703</v>
      </c>
      <c r="V115">
        <f ca="1"/>
        <v>7574340.5840742104</v>
      </c>
      <c r="W115">
        <f ca="1"/>
        <v>328.62905883789</v>
      </c>
      <c r="X115">
        <f ca="1"/>
        <v>692998.12120233697</v>
      </c>
      <c r="Y115">
        <f ca="1"/>
        <v>7574357.6733693704</v>
      </c>
      <c r="Z115">
        <f ca="1"/>
        <v>328.225982666015</v>
      </c>
      <c r="AA115">
        <f ca="1"/>
        <v>1</v>
      </c>
      <c r="AB115">
        <f ca="1"/>
        <v>1.2</v>
      </c>
      <c r="AC115">
        <f ca="1"/>
        <v>2.8</v>
      </c>
      <c r="AD115">
        <f ca="1"/>
        <v>1.6</v>
      </c>
      <c r="AE115">
        <f ca="1"/>
        <v>2.8</v>
      </c>
    </row>
    <row r="116" spans="1:31" x14ac:dyDescent="0.25">
      <c r="A116">
        <f ca="1"/>
        <v>115</v>
      </c>
      <c r="B116">
        <f ca="1"/>
        <v>2</v>
      </c>
      <c r="C116">
        <f ca="1"/>
        <v>28</v>
      </c>
      <c r="D116" s="17">
        <f ca="1"/>
        <v>692939.48789639166</v>
      </c>
      <c r="E116" s="17">
        <f ca="1"/>
        <v>7574338.9244651077</v>
      </c>
      <c r="F116">
        <f ca="1"/>
        <v>328.52905883788998</v>
      </c>
      <c r="G116">
        <f ca="1"/>
        <v>0</v>
      </c>
      <c r="H116">
        <f ca="1"/>
        <v>0</v>
      </c>
      <c r="I116" t="str">
        <f ca="1"/>
        <v>MIN NO MERGE</v>
      </c>
      <c r="J116">
        <f ca="1"/>
        <v>15</v>
      </c>
      <c r="K116" t="str">
        <f ca="1"/>
        <v>R-18b</v>
      </c>
      <c r="L116" t="str">
        <f ca="1"/>
        <v>R-18b</v>
      </c>
      <c r="M116">
        <f ca="1"/>
        <v>0</v>
      </c>
      <c r="N116">
        <f ca="1"/>
        <v>-2.8548472494693904</v>
      </c>
      <c r="O116">
        <f ca="1"/>
        <v>-2.8548472494693904</v>
      </c>
      <c r="P116">
        <f ca="1"/>
        <v>0.28674540412040317</v>
      </c>
      <c r="Q116">
        <f ca="1"/>
        <v>1.5707963267948966</v>
      </c>
      <c r="R116">
        <f ca="1"/>
        <v>692940.16620135703</v>
      </c>
      <c r="S116">
        <f ca="1"/>
        <v>7574340.5840742104</v>
      </c>
      <c r="T116">
        <f ca="1"/>
        <v>328.62905883789</v>
      </c>
      <c r="U116">
        <f ca="1"/>
        <v>692940.16620135703</v>
      </c>
      <c r="V116">
        <f ca="1"/>
        <v>7574340.5840742104</v>
      </c>
      <c r="W116">
        <f ca="1"/>
        <v>328.62905883789</v>
      </c>
      <c r="X116">
        <f ca="1"/>
        <v>692998.12120233697</v>
      </c>
      <c r="Y116">
        <f ca="1"/>
        <v>7574357.6733693704</v>
      </c>
      <c r="Z116">
        <f ca="1"/>
        <v>328.225982666015</v>
      </c>
      <c r="AA116">
        <f ca="1"/>
        <v>1</v>
      </c>
      <c r="AB116">
        <f ca="1"/>
        <v>1.2</v>
      </c>
      <c r="AC116">
        <f ca="1"/>
        <v>2.8</v>
      </c>
      <c r="AD116">
        <f ca="1"/>
        <v>1.6</v>
      </c>
      <c r="AE116">
        <f ca="1"/>
        <v>2.8</v>
      </c>
    </row>
    <row r="117" spans="1:31" x14ac:dyDescent="0.25">
      <c r="A117">
        <f ca="1"/>
        <v>116</v>
      </c>
      <c r="B117">
        <f ca="1"/>
        <v>3</v>
      </c>
      <c r="C117">
        <f ca="1"/>
        <v>28</v>
      </c>
      <c r="D117" s="17">
        <f ca="1"/>
        <v>692941.02256752411</v>
      </c>
      <c r="E117" s="17">
        <f ca="1"/>
        <v>7574339.3769963393</v>
      </c>
      <c r="F117">
        <f ca="1"/>
        <v>328.52905883788998</v>
      </c>
      <c r="G117">
        <f ca="1"/>
        <v>0</v>
      </c>
      <c r="H117">
        <f ca="1"/>
        <v>0</v>
      </c>
      <c r="I117" t="str">
        <f ca="1"/>
        <v>MIN NO MERGE</v>
      </c>
      <c r="J117">
        <f ca="1"/>
        <v>15</v>
      </c>
      <c r="K117" t="str">
        <f ca="1"/>
        <v>R-18b</v>
      </c>
      <c r="L117" t="str">
        <f ca="1"/>
        <v>R-18b</v>
      </c>
      <c r="M117">
        <f ca="1"/>
        <v>0</v>
      </c>
      <c r="N117">
        <f ca="1"/>
        <v>-2.8548472494693904</v>
      </c>
      <c r="O117">
        <f ca="1"/>
        <v>-2.8548472494693904</v>
      </c>
      <c r="P117">
        <f ca="1"/>
        <v>0.28674540412040317</v>
      </c>
      <c r="Q117">
        <f ca="1"/>
        <v>1.5707963267948966</v>
      </c>
      <c r="R117">
        <f ca="1"/>
        <v>692940.16620135703</v>
      </c>
      <c r="S117">
        <f ca="1"/>
        <v>7574340.5840742104</v>
      </c>
      <c r="T117">
        <f ca="1"/>
        <v>328.62905883789</v>
      </c>
      <c r="U117">
        <f ca="1"/>
        <v>692940.16620135703</v>
      </c>
      <c r="V117">
        <f ca="1"/>
        <v>7574340.5840742104</v>
      </c>
      <c r="W117">
        <f ca="1"/>
        <v>328.62905883789</v>
      </c>
      <c r="X117">
        <f ca="1"/>
        <v>692998.12120233697</v>
      </c>
      <c r="Y117">
        <f ca="1"/>
        <v>7574357.6733693704</v>
      </c>
      <c r="Z117">
        <f ca="1"/>
        <v>328.225982666015</v>
      </c>
      <c r="AA117">
        <f ca="1"/>
        <v>1</v>
      </c>
      <c r="AB117">
        <f ca="1"/>
        <v>1.2</v>
      </c>
      <c r="AC117">
        <f ca="1"/>
        <v>2.8</v>
      </c>
      <c r="AD117">
        <f ca="1"/>
        <v>1.6</v>
      </c>
      <c r="AE117">
        <f ca="1"/>
        <v>2.8</v>
      </c>
    </row>
    <row r="118" spans="1:31" x14ac:dyDescent="0.25">
      <c r="A118">
        <f ca="1"/>
        <v>117</v>
      </c>
      <c r="B118">
        <f ca="1"/>
        <v>0</v>
      </c>
      <c r="C118">
        <f ca="1"/>
        <v>29</v>
      </c>
      <c r="D118" s="17">
        <f ca="1"/>
        <v>692998.05676582467</v>
      </c>
      <c r="E118" s="17">
        <f ca="1"/>
        <v>7574356.1947727604</v>
      </c>
      <c r="F118">
        <f ca="1"/>
        <v>328.12598266601498</v>
      </c>
      <c r="G118">
        <f ca="1"/>
        <v>0</v>
      </c>
      <c r="H118">
        <f ca="1"/>
        <v>0</v>
      </c>
      <c r="I118" t="str">
        <f ca="1"/>
        <v>MIN NO MERGE</v>
      </c>
      <c r="J118">
        <f ca="1"/>
        <v>15</v>
      </c>
      <c r="K118" t="str">
        <f ca="1"/>
        <v>R-18b</v>
      </c>
      <c r="L118" t="str">
        <f ca="1"/>
        <v>R-18b</v>
      </c>
      <c r="M118">
        <f ca="1"/>
        <v>1</v>
      </c>
      <c r="N118">
        <f ca="1"/>
        <v>0.28674540412040317</v>
      </c>
      <c r="O118">
        <f ca="1"/>
        <v>0.28674540412040317</v>
      </c>
      <c r="P118">
        <f ca="1"/>
        <v>0.28674540412040317</v>
      </c>
      <c r="Q118">
        <f ca="1"/>
        <v>1.5707963267948966</v>
      </c>
      <c r="R118">
        <f ca="1"/>
        <v>692998.12120233697</v>
      </c>
      <c r="S118">
        <f ca="1"/>
        <v>7574357.6733693704</v>
      </c>
      <c r="T118">
        <f ca="1"/>
        <v>328.225982666015</v>
      </c>
      <c r="U118">
        <f ca="1"/>
        <v>692940.16620135703</v>
      </c>
      <c r="V118">
        <f ca="1"/>
        <v>7574340.5840742104</v>
      </c>
      <c r="W118">
        <f ca="1"/>
        <v>328.62905883789</v>
      </c>
      <c r="X118">
        <f ca="1"/>
        <v>692998.12120233697</v>
      </c>
      <c r="Y118">
        <f ca="1"/>
        <v>7574357.6733693704</v>
      </c>
      <c r="Z118">
        <f ca="1"/>
        <v>328.225982666015</v>
      </c>
      <c r="AA118">
        <f ca="1"/>
        <v>1</v>
      </c>
      <c r="AB118">
        <f ca="1"/>
        <v>1.2</v>
      </c>
      <c r="AC118">
        <f ca="1"/>
        <v>2.8</v>
      </c>
      <c r="AD118">
        <f ca="1"/>
        <v>1.6</v>
      </c>
      <c r="AE118">
        <f ca="1"/>
        <v>2.8</v>
      </c>
    </row>
    <row r="119" spans="1:31" x14ac:dyDescent="0.25">
      <c r="A119">
        <f ca="1"/>
        <v>118</v>
      </c>
      <c r="B119">
        <f ca="1"/>
        <v>1</v>
      </c>
      <c r="C119">
        <f ca="1"/>
        <v>29</v>
      </c>
      <c r="D119" s="17">
        <f ca="1"/>
        <v>692999.59143695713</v>
      </c>
      <c r="E119" s="17">
        <f ca="1"/>
        <v>7574356.647303992</v>
      </c>
      <c r="F119">
        <f ca="1"/>
        <v>328.12598266601498</v>
      </c>
      <c r="G119">
        <f ca="1"/>
        <v>0</v>
      </c>
      <c r="H119">
        <f ca="1"/>
        <v>0</v>
      </c>
      <c r="I119" t="str">
        <f ca="1"/>
        <v>MIN NO MERGE</v>
      </c>
      <c r="J119">
        <f ca="1"/>
        <v>15</v>
      </c>
      <c r="K119" t="str">
        <f ca="1"/>
        <v>R-18b</v>
      </c>
      <c r="L119" t="str">
        <f ca="1"/>
        <v>R-18b</v>
      </c>
      <c r="M119">
        <f ca="1"/>
        <v>1</v>
      </c>
      <c r="N119">
        <f ca="1"/>
        <v>0.28674540412040317</v>
      </c>
      <c r="O119">
        <f ca="1"/>
        <v>0.28674540412040317</v>
      </c>
      <c r="P119">
        <f ca="1"/>
        <v>0.28674540412040317</v>
      </c>
      <c r="Q119">
        <f ca="1"/>
        <v>1.5707963267948966</v>
      </c>
      <c r="R119">
        <f ca="1"/>
        <v>692998.12120233697</v>
      </c>
      <c r="S119">
        <f ca="1"/>
        <v>7574357.6733693704</v>
      </c>
      <c r="T119">
        <f ca="1"/>
        <v>328.225982666015</v>
      </c>
      <c r="U119">
        <f ca="1"/>
        <v>692940.16620135703</v>
      </c>
      <c r="V119">
        <f ca="1"/>
        <v>7574340.5840742104</v>
      </c>
      <c r="W119">
        <f ca="1"/>
        <v>328.62905883789</v>
      </c>
      <c r="X119">
        <f ca="1"/>
        <v>692998.12120233697</v>
      </c>
      <c r="Y119">
        <f ca="1"/>
        <v>7574357.6733693704</v>
      </c>
      <c r="Z119">
        <f ca="1"/>
        <v>328.225982666015</v>
      </c>
      <c r="AA119">
        <f ca="1"/>
        <v>1</v>
      </c>
      <c r="AB119">
        <f ca="1"/>
        <v>1.2</v>
      </c>
      <c r="AC119">
        <f ca="1"/>
        <v>2.8</v>
      </c>
      <c r="AD119">
        <f ca="1"/>
        <v>1.6</v>
      </c>
      <c r="AE119">
        <f ca="1"/>
        <v>2.8</v>
      </c>
    </row>
    <row r="120" spans="1:31" x14ac:dyDescent="0.25">
      <c r="A120">
        <f ca="1"/>
        <v>119</v>
      </c>
      <c r="B120">
        <f ca="1"/>
        <v>2</v>
      </c>
      <c r="C120">
        <f ca="1"/>
        <v>29</v>
      </c>
      <c r="D120" s="17">
        <f ca="1"/>
        <v>692998.79950730235</v>
      </c>
      <c r="E120" s="17">
        <f ca="1"/>
        <v>7574359.332978473</v>
      </c>
      <c r="F120">
        <f ca="1"/>
        <v>328.12598266601498</v>
      </c>
      <c r="G120">
        <f ca="1"/>
        <v>0</v>
      </c>
      <c r="H120">
        <f ca="1"/>
        <v>0</v>
      </c>
      <c r="I120" t="str">
        <f ca="1"/>
        <v>MIN NO MERGE</v>
      </c>
      <c r="J120">
        <f ca="1"/>
        <v>15</v>
      </c>
      <c r="K120" t="str">
        <f ca="1"/>
        <v>R-18b</v>
      </c>
      <c r="L120" t="str">
        <f ca="1"/>
        <v>R-18b</v>
      </c>
      <c r="M120">
        <f ca="1"/>
        <v>1</v>
      </c>
      <c r="N120">
        <f ca="1"/>
        <v>0.28674540412040317</v>
      </c>
      <c r="O120">
        <f ca="1"/>
        <v>0.28674540412040317</v>
      </c>
      <c r="P120">
        <f ca="1"/>
        <v>0.28674540412040317</v>
      </c>
      <c r="Q120">
        <f ca="1"/>
        <v>1.5707963267948966</v>
      </c>
      <c r="R120">
        <f ca="1"/>
        <v>692998.12120233697</v>
      </c>
      <c r="S120">
        <f ca="1"/>
        <v>7574357.6733693704</v>
      </c>
      <c r="T120">
        <f ca="1"/>
        <v>328.225982666015</v>
      </c>
      <c r="U120">
        <f ca="1"/>
        <v>692940.16620135703</v>
      </c>
      <c r="V120">
        <f ca="1"/>
        <v>7574340.5840742104</v>
      </c>
      <c r="W120">
        <f ca="1"/>
        <v>328.62905883789</v>
      </c>
      <c r="X120">
        <f ca="1"/>
        <v>692998.12120233697</v>
      </c>
      <c r="Y120">
        <f ca="1"/>
        <v>7574357.6733693704</v>
      </c>
      <c r="Z120">
        <f ca="1"/>
        <v>328.225982666015</v>
      </c>
      <c r="AA120">
        <f ca="1"/>
        <v>1</v>
      </c>
      <c r="AB120">
        <f ca="1"/>
        <v>1.2</v>
      </c>
      <c r="AC120">
        <f ca="1"/>
        <v>2.8</v>
      </c>
      <c r="AD120">
        <f ca="1"/>
        <v>1.6</v>
      </c>
      <c r="AE120">
        <f ca="1"/>
        <v>2.8</v>
      </c>
    </row>
    <row r="121" spans="1:31" x14ac:dyDescent="0.25">
      <c r="A121">
        <f ca="1"/>
        <v>120</v>
      </c>
      <c r="B121">
        <f ca="1"/>
        <v>3</v>
      </c>
      <c r="C121">
        <f ca="1"/>
        <v>29</v>
      </c>
      <c r="D121" s="17">
        <f ca="1"/>
        <v>692997.2648361699</v>
      </c>
      <c r="E121" s="17">
        <f ca="1"/>
        <v>7574358.8804472415</v>
      </c>
      <c r="F121">
        <f ca="1"/>
        <v>328.12598266601498</v>
      </c>
      <c r="G121">
        <f ca="1"/>
        <v>0</v>
      </c>
      <c r="H121">
        <f ca="1"/>
        <v>0</v>
      </c>
      <c r="I121" t="str">
        <f ca="1"/>
        <v>MIN NO MERGE</v>
      </c>
      <c r="J121">
        <f ca="1"/>
        <v>15</v>
      </c>
      <c r="K121" t="str">
        <f ca="1"/>
        <v>R-18b</v>
      </c>
      <c r="L121" t="str">
        <f ca="1"/>
        <v>R-18b</v>
      </c>
      <c r="M121">
        <f ca="1"/>
        <v>1</v>
      </c>
      <c r="N121">
        <f ca="1"/>
        <v>0.28674540412040317</v>
      </c>
      <c r="O121">
        <f ca="1"/>
        <v>0.28674540412040317</v>
      </c>
      <c r="P121">
        <f ca="1"/>
        <v>0.28674540412040317</v>
      </c>
      <c r="Q121">
        <f ca="1"/>
        <v>1.5707963267948966</v>
      </c>
      <c r="R121">
        <f ca="1"/>
        <v>692998.12120233697</v>
      </c>
      <c r="S121">
        <f ca="1"/>
        <v>7574357.6733693704</v>
      </c>
      <c r="T121">
        <f ca="1"/>
        <v>328.225982666015</v>
      </c>
      <c r="U121">
        <f ca="1"/>
        <v>692940.16620135703</v>
      </c>
      <c r="V121">
        <f ca="1"/>
        <v>7574340.5840742104</v>
      </c>
      <c r="W121">
        <f ca="1"/>
        <v>328.62905883789</v>
      </c>
      <c r="X121">
        <f ca="1"/>
        <v>692998.12120233697</v>
      </c>
      <c r="Y121">
        <f ca="1"/>
        <v>7574357.6733693704</v>
      </c>
      <c r="Z121">
        <f ca="1"/>
        <v>328.225982666015</v>
      </c>
      <c r="AA121">
        <f ca="1"/>
        <v>1</v>
      </c>
      <c r="AB121">
        <f ca="1"/>
        <v>1.2</v>
      </c>
      <c r="AC121">
        <f ca="1"/>
        <v>2.8</v>
      </c>
      <c r="AD121">
        <f ca="1"/>
        <v>1.6</v>
      </c>
      <c r="AE121">
        <f ca="1"/>
        <v>2.8</v>
      </c>
    </row>
    <row r="122" spans="1:31" x14ac:dyDescent="0.25">
      <c r="A122">
        <f ca="1"/>
        <v>121</v>
      </c>
      <c r="B122">
        <f ca="1"/>
        <v>0</v>
      </c>
      <c r="C122">
        <f ca="1"/>
        <v>30</v>
      </c>
      <c r="D122" s="17">
        <f ca="1"/>
        <v>693374.02673409681</v>
      </c>
      <c r="E122" s="17">
        <f ca="1"/>
        <v>7574869.2639261009</v>
      </c>
      <c r="F122">
        <f ca="1"/>
        <v>326.80853881835895</v>
      </c>
      <c r="G122">
        <f ca="1"/>
        <v>0</v>
      </c>
      <c r="H122">
        <f ca="1"/>
        <v>0</v>
      </c>
      <c r="I122" t="str">
        <f ca="1"/>
        <v>MIN NO MERGE</v>
      </c>
      <c r="J122">
        <f ca="1"/>
        <v>16</v>
      </c>
      <c r="K122" t="str">
        <f ca="1"/>
        <v>R-19</v>
      </c>
      <c r="L122" t="str">
        <f ca="1"/>
        <v>R-19</v>
      </c>
      <c r="M122">
        <f ca="1"/>
        <v>0</v>
      </c>
      <c r="N122">
        <f ca="1"/>
        <v>-0.89544895676575109</v>
      </c>
      <c r="O122">
        <f ca="1"/>
        <v>-0.89544895676575109</v>
      </c>
      <c r="P122">
        <f ca="1"/>
        <v>2.2461436968240411</v>
      </c>
      <c r="Q122">
        <f ca="1"/>
        <v>1.5707963267948966</v>
      </c>
      <c r="R122">
        <f ca="1"/>
        <v>693376.96487060096</v>
      </c>
      <c r="S122">
        <f ca="1"/>
        <v>7574871.0023604203</v>
      </c>
      <c r="T122">
        <f ca="1"/>
        <v>326.90853881835898</v>
      </c>
      <c r="U122">
        <f ca="1"/>
        <v>693376.96487060096</v>
      </c>
      <c r="V122">
        <f ca="1"/>
        <v>7574871.0023604203</v>
      </c>
      <c r="W122">
        <f ca="1"/>
        <v>326.90853881835898</v>
      </c>
      <c r="X122">
        <f ca="1"/>
        <v>693362.01173733606</v>
      </c>
      <c r="Y122">
        <f ca="1"/>
        <v>7574889.6705578603</v>
      </c>
      <c r="Z122">
        <f ca="1"/>
        <v>326.70608520507801</v>
      </c>
      <c r="AA122">
        <f ca="1"/>
        <v>4</v>
      </c>
      <c r="AB122">
        <f ca="1"/>
        <v>0.9</v>
      </c>
      <c r="AC122">
        <f ca="1"/>
        <v>6.76</v>
      </c>
      <c r="AD122">
        <f ca="1"/>
        <v>1.6</v>
      </c>
      <c r="AE122">
        <f ca="1"/>
        <v>6.76</v>
      </c>
    </row>
    <row r="123" spans="1:31" x14ac:dyDescent="0.25">
      <c r="A123">
        <f ca="1"/>
        <v>122</v>
      </c>
      <c r="B123">
        <f ca="1"/>
        <v>1</v>
      </c>
      <c r="C123">
        <f ca="1"/>
        <v>30</v>
      </c>
      <c r="D123" s="17">
        <f ca="1"/>
        <v>693375.02700365393</v>
      </c>
      <c r="E123" s="17">
        <f ca="1"/>
        <v>7574868.0151423672</v>
      </c>
      <c r="F123">
        <f ca="1"/>
        <v>326.80853881835895</v>
      </c>
      <c r="G123">
        <f ca="1"/>
        <v>0</v>
      </c>
      <c r="H123">
        <f ca="1"/>
        <v>0</v>
      </c>
      <c r="I123" t="str">
        <f ca="1"/>
        <v>MIN NO MERGE</v>
      </c>
      <c r="J123">
        <f ca="1"/>
        <v>16</v>
      </c>
      <c r="K123" t="str">
        <f ca="1"/>
        <v>R-19</v>
      </c>
      <c r="L123" t="str">
        <f ca="1"/>
        <v>R-19</v>
      </c>
      <c r="M123">
        <f ca="1"/>
        <v>0</v>
      </c>
      <c r="N123">
        <f ca="1"/>
        <v>-0.89544895676575109</v>
      </c>
      <c r="O123">
        <f ca="1"/>
        <v>-0.89544895676575109</v>
      </c>
      <c r="P123">
        <f ca="1"/>
        <v>2.2461436968240411</v>
      </c>
      <c r="Q123">
        <f ca="1"/>
        <v>1.5707963267948966</v>
      </c>
      <c r="R123">
        <f ca="1"/>
        <v>693376.96487060096</v>
      </c>
      <c r="S123">
        <f ca="1"/>
        <v>7574871.0023604203</v>
      </c>
      <c r="T123">
        <f ca="1"/>
        <v>326.90853881835898</v>
      </c>
      <c r="U123">
        <f ca="1"/>
        <v>693376.96487060096</v>
      </c>
      <c r="V123">
        <f ca="1"/>
        <v>7574871.0023604203</v>
      </c>
      <c r="W123">
        <f ca="1"/>
        <v>326.90853881835898</v>
      </c>
      <c r="X123">
        <f ca="1"/>
        <v>693362.01173733606</v>
      </c>
      <c r="Y123">
        <f ca="1"/>
        <v>7574889.6705578603</v>
      </c>
      <c r="Z123">
        <f ca="1"/>
        <v>326.70608520507801</v>
      </c>
      <c r="AA123">
        <f ca="1"/>
        <v>4</v>
      </c>
      <c r="AB123">
        <f ca="1"/>
        <v>0.9</v>
      </c>
      <c r="AC123">
        <f ca="1"/>
        <v>6.76</v>
      </c>
      <c r="AD123">
        <f ca="1"/>
        <v>1.6</v>
      </c>
      <c r="AE123">
        <f ca="1"/>
        <v>6.76</v>
      </c>
    </row>
    <row r="124" spans="1:31" x14ac:dyDescent="0.25">
      <c r="A124">
        <f ca="1"/>
        <v>123</v>
      </c>
      <c r="B124">
        <f ca="1"/>
        <v>2</v>
      </c>
      <c r="C124">
        <f ca="1"/>
        <v>30</v>
      </c>
      <c r="D124" s="17">
        <f ca="1"/>
        <v>693380.30311492796</v>
      </c>
      <c r="E124" s="17">
        <f ca="1"/>
        <v>7574872.2412812458</v>
      </c>
      <c r="F124">
        <f ca="1"/>
        <v>326.80853881835895</v>
      </c>
      <c r="G124">
        <f ca="1"/>
        <v>0</v>
      </c>
      <c r="H124">
        <f ca="1"/>
        <v>0</v>
      </c>
      <c r="I124" t="str">
        <f ca="1"/>
        <v>MIN NO MERGE</v>
      </c>
      <c r="J124">
        <f ca="1"/>
        <v>16</v>
      </c>
      <c r="K124" t="str">
        <f ca="1"/>
        <v>R-19</v>
      </c>
      <c r="L124" t="str">
        <f ca="1"/>
        <v>R-19</v>
      </c>
      <c r="M124">
        <f ca="1"/>
        <v>0</v>
      </c>
      <c r="N124">
        <f ca="1"/>
        <v>-0.89544895676575109</v>
      </c>
      <c r="O124">
        <f ca="1"/>
        <v>-0.89544895676575109</v>
      </c>
      <c r="P124">
        <f ca="1"/>
        <v>2.2461436968240411</v>
      </c>
      <c r="Q124">
        <f ca="1"/>
        <v>1.5707963267948966</v>
      </c>
      <c r="R124">
        <f ca="1"/>
        <v>693376.96487060096</v>
      </c>
      <c r="S124">
        <f ca="1"/>
        <v>7574871.0023604203</v>
      </c>
      <c r="T124">
        <f ca="1"/>
        <v>326.90853881835898</v>
      </c>
      <c r="U124">
        <f ca="1"/>
        <v>693376.96487060096</v>
      </c>
      <c r="V124">
        <f ca="1"/>
        <v>7574871.0023604203</v>
      </c>
      <c r="W124">
        <f ca="1"/>
        <v>326.90853881835898</v>
      </c>
      <c r="X124">
        <f ca="1"/>
        <v>693362.01173733606</v>
      </c>
      <c r="Y124">
        <f ca="1"/>
        <v>7574889.6705578603</v>
      </c>
      <c r="Z124">
        <f ca="1"/>
        <v>326.70608520507801</v>
      </c>
      <c r="AA124">
        <f ca="1"/>
        <v>4</v>
      </c>
      <c r="AB124">
        <f ca="1"/>
        <v>0.9</v>
      </c>
      <c r="AC124">
        <f ca="1"/>
        <v>6.76</v>
      </c>
      <c r="AD124">
        <f ca="1"/>
        <v>1.6</v>
      </c>
      <c r="AE124">
        <f ca="1"/>
        <v>6.76</v>
      </c>
    </row>
    <row r="125" spans="1:31" x14ac:dyDescent="0.25">
      <c r="A125">
        <f ca="1"/>
        <v>124</v>
      </c>
      <c r="B125">
        <f ca="1"/>
        <v>3</v>
      </c>
      <c r="C125">
        <f ca="1"/>
        <v>30</v>
      </c>
      <c r="D125" s="17">
        <f ca="1"/>
        <v>693379.30284537084</v>
      </c>
      <c r="E125" s="17">
        <f ca="1"/>
        <v>7574873.4900649795</v>
      </c>
      <c r="F125">
        <f ca="1"/>
        <v>326.80853881835895</v>
      </c>
      <c r="G125">
        <f ca="1"/>
        <v>0</v>
      </c>
      <c r="H125">
        <f ca="1"/>
        <v>0</v>
      </c>
      <c r="I125" t="str">
        <f ca="1"/>
        <v>MIN NO MERGE</v>
      </c>
      <c r="J125">
        <f ca="1"/>
        <v>16</v>
      </c>
      <c r="K125" t="str">
        <f ca="1"/>
        <v>R-19</v>
      </c>
      <c r="L125" t="str">
        <f ca="1"/>
        <v>R-19</v>
      </c>
      <c r="M125">
        <f ca="1"/>
        <v>0</v>
      </c>
      <c r="N125">
        <f ca="1"/>
        <v>-0.89544895676575109</v>
      </c>
      <c r="O125">
        <f ca="1"/>
        <v>-0.89544895676575109</v>
      </c>
      <c r="P125">
        <f ca="1"/>
        <v>2.2461436968240411</v>
      </c>
      <c r="Q125">
        <f ca="1"/>
        <v>1.5707963267948966</v>
      </c>
      <c r="R125">
        <f ca="1"/>
        <v>693376.96487060096</v>
      </c>
      <c r="S125">
        <f ca="1"/>
        <v>7574871.0023604203</v>
      </c>
      <c r="T125">
        <f ca="1"/>
        <v>326.90853881835898</v>
      </c>
      <c r="U125">
        <f ca="1"/>
        <v>693376.96487060096</v>
      </c>
      <c r="V125">
        <f ca="1"/>
        <v>7574871.0023604203</v>
      </c>
      <c r="W125">
        <f ca="1"/>
        <v>326.90853881835898</v>
      </c>
      <c r="X125">
        <f ca="1"/>
        <v>693362.01173733606</v>
      </c>
      <c r="Y125">
        <f ca="1"/>
        <v>7574889.6705578603</v>
      </c>
      <c r="Z125">
        <f ca="1"/>
        <v>326.70608520507801</v>
      </c>
      <c r="AA125">
        <f ca="1"/>
        <v>4</v>
      </c>
      <c r="AB125">
        <f ca="1"/>
        <v>0.9</v>
      </c>
      <c r="AC125">
        <f ca="1"/>
        <v>6.76</v>
      </c>
      <c r="AD125">
        <f ca="1"/>
        <v>1.6</v>
      </c>
      <c r="AE125">
        <f ca="1"/>
        <v>6.76</v>
      </c>
    </row>
    <row r="126" spans="1:31" x14ac:dyDescent="0.25">
      <c r="A126">
        <f ca="1"/>
        <v>125</v>
      </c>
      <c r="B126">
        <f ca="1"/>
        <v>0</v>
      </c>
      <c r="C126">
        <f ca="1"/>
        <v>31</v>
      </c>
      <c r="D126" s="17">
        <f ca="1"/>
        <v>693364.9498738402</v>
      </c>
      <c r="E126" s="17">
        <f ca="1"/>
        <v>7574891.4089921797</v>
      </c>
      <c r="F126">
        <f ca="1"/>
        <v>326.60608520507799</v>
      </c>
      <c r="G126">
        <f ca="1"/>
        <v>0</v>
      </c>
      <c r="H126">
        <f ca="1"/>
        <v>0</v>
      </c>
      <c r="I126" t="str">
        <f ca="1"/>
        <v>MIN NO MERGE</v>
      </c>
      <c r="J126">
        <f ca="1"/>
        <v>16</v>
      </c>
      <c r="K126" t="str">
        <f ca="1"/>
        <v>R-19</v>
      </c>
      <c r="L126" t="str">
        <f ca="1"/>
        <v>R-19</v>
      </c>
      <c r="M126">
        <f ca="1"/>
        <v>1</v>
      </c>
      <c r="N126">
        <f ca="1"/>
        <v>2.2461436968240411</v>
      </c>
      <c r="O126">
        <f ca="1"/>
        <v>2.2461436968240411</v>
      </c>
      <c r="P126">
        <f ca="1"/>
        <v>2.2461436968240411</v>
      </c>
      <c r="Q126">
        <f ca="1"/>
        <v>1.5707963267948966</v>
      </c>
      <c r="R126">
        <f ca="1"/>
        <v>693362.01173733606</v>
      </c>
      <c r="S126">
        <f ca="1"/>
        <v>7574889.6705578603</v>
      </c>
      <c r="T126">
        <f ca="1"/>
        <v>326.70608520507801</v>
      </c>
      <c r="U126">
        <f ca="1"/>
        <v>693376.96487060096</v>
      </c>
      <c r="V126">
        <f ca="1"/>
        <v>7574871.0023604203</v>
      </c>
      <c r="W126">
        <f ca="1"/>
        <v>326.90853881835898</v>
      </c>
      <c r="X126">
        <f ca="1"/>
        <v>693362.01173733606</v>
      </c>
      <c r="Y126">
        <f ca="1"/>
        <v>7574889.6705578603</v>
      </c>
      <c r="Z126">
        <f ca="1"/>
        <v>326.70608520507801</v>
      </c>
      <c r="AA126">
        <f ca="1"/>
        <v>4</v>
      </c>
      <c r="AB126">
        <f ca="1"/>
        <v>0.9</v>
      </c>
      <c r="AC126">
        <f ca="1"/>
        <v>6.76</v>
      </c>
      <c r="AD126">
        <f ca="1"/>
        <v>1.6</v>
      </c>
      <c r="AE126">
        <f ca="1"/>
        <v>6.76</v>
      </c>
    </row>
    <row r="127" spans="1:31" x14ac:dyDescent="0.25">
      <c r="A127">
        <f ca="1"/>
        <v>126</v>
      </c>
      <c r="B127">
        <f ca="1"/>
        <v>1</v>
      </c>
      <c r="C127">
        <f ca="1"/>
        <v>31</v>
      </c>
      <c r="D127" s="17">
        <f ca="1"/>
        <v>693363.94960428309</v>
      </c>
      <c r="E127" s="17">
        <f ca="1"/>
        <v>7574892.6577759134</v>
      </c>
      <c r="F127">
        <f ca="1"/>
        <v>326.60608520507799</v>
      </c>
      <c r="G127">
        <f ca="1"/>
        <v>0</v>
      </c>
      <c r="H127">
        <f ca="1"/>
        <v>0</v>
      </c>
      <c r="I127" t="str">
        <f ca="1"/>
        <v>MIN NO MERGE</v>
      </c>
      <c r="J127">
        <f ca="1"/>
        <v>16</v>
      </c>
      <c r="K127" t="str">
        <f ca="1"/>
        <v>R-19</v>
      </c>
      <c r="L127" t="str">
        <f ca="1"/>
        <v>R-19</v>
      </c>
      <c r="M127">
        <f ca="1"/>
        <v>1</v>
      </c>
      <c r="N127">
        <f ca="1"/>
        <v>2.2461436968240411</v>
      </c>
      <c r="O127">
        <f ca="1"/>
        <v>2.2461436968240411</v>
      </c>
      <c r="P127">
        <f ca="1"/>
        <v>2.2461436968240411</v>
      </c>
      <c r="Q127">
        <f ca="1"/>
        <v>1.5707963267948966</v>
      </c>
      <c r="R127">
        <f ca="1"/>
        <v>693362.01173733606</v>
      </c>
      <c r="S127">
        <f ca="1"/>
        <v>7574889.6705578603</v>
      </c>
      <c r="T127">
        <f ca="1"/>
        <v>326.70608520507801</v>
      </c>
      <c r="U127">
        <f ca="1"/>
        <v>693376.96487060096</v>
      </c>
      <c r="V127">
        <f ca="1"/>
        <v>7574871.0023604203</v>
      </c>
      <c r="W127">
        <f ca="1"/>
        <v>326.90853881835898</v>
      </c>
      <c r="X127">
        <f ca="1"/>
        <v>693362.01173733606</v>
      </c>
      <c r="Y127">
        <f ca="1"/>
        <v>7574889.6705578603</v>
      </c>
      <c r="Z127">
        <f ca="1"/>
        <v>326.70608520507801</v>
      </c>
      <c r="AA127">
        <f ca="1"/>
        <v>4</v>
      </c>
      <c r="AB127">
        <f ca="1"/>
        <v>0.9</v>
      </c>
      <c r="AC127">
        <f ca="1"/>
        <v>6.76</v>
      </c>
      <c r="AD127">
        <f ca="1"/>
        <v>1.6</v>
      </c>
      <c r="AE127">
        <f ca="1"/>
        <v>6.76</v>
      </c>
    </row>
    <row r="128" spans="1:31" x14ac:dyDescent="0.25">
      <c r="A128">
        <f ca="1"/>
        <v>127</v>
      </c>
      <c r="B128">
        <f ca="1"/>
        <v>2</v>
      </c>
      <c r="C128">
        <f ca="1"/>
        <v>31</v>
      </c>
      <c r="D128" s="17">
        <f ca="1"/>
        <v>693358.67349300906</v>
      </c>
      <c r="E128" s="17">
        <f ca="1"/>
        <v>7574888.4316370348</v>
      </c>
      <c r="F128">
        <f ca="1"/>
        <v>326.60608520507799</v>
      </c>
      <c r="G128">
        <f ca="1"/>
        <v>0</v>
      </c>
      <c r="H128">
        <f ca="1"/>
        <v>0</v>
      </c>
      <c r="I128" t="str">
        <f ca="1"/>
        <v>MIN NO MERGE</v>
      </c>
      <c r="J128">
        <f ca="1"/>
        <v>16</v>
      </c>
      <c r="K128" t="str">
        <f ca="1"/>
        <v>R-19</v>
      </c>
      <c r="L128" t="str">
        <f ca="1"/>
        <v>R-19</v>
      </c>
      <c r="M128">
        <f ca="1"/>
        <v>1</v>
      </c>
      <c r="N128">
        <f ca="1"/>
        <v>2.2461436968240411</v>
      </c>
      <c r="O128">
        <f ca="1"/>
        <v>2.2461436968240411</v>
      </c>
      <c r="P128">
        <f ca="1"/>
        <v>2.2461436968240411</v>
      </c>
      <c r="Q128">
        <f ca="1"/>
        <v>1.5707963267948966</v>
      </c>
      <c r="R128">
        <f ca="1"/>
        <v>693362.01173733606</v>
      </c>
      <c r="S128">
        <f ca="1"/>
        <v>7574889.6705578603</v>
      </c>
      <c r="T128">
        <f ca="1"/>
        <v>326.70608520507801</v>
      </c>
      <c r="U128">
        <f ca="1"/>
        <v>693376.96487060096</v>
      </c>
      <c r="V128">
        <f ca="1"/>
        <v>7574871.0023604203</v>
      </c>
      <c r="W128">
        <f ca="1"/>
        <v>326.90853881835898</v>
      </c>
      <c r="X128">
        <f ca="1"/>
        <v>693362.01173733606</v>
      </c>
      <c r="Y128">
        <f ca="1"/>
        <v>7574889.6705578603</v>
      </c>
      <c r="Z128">
        <f ca="1"/>
        <v>326.70608520507801</v>
      </c>
      <c r="AA128">
        <f ca="1"/>
        <v>4</v>
      </c>
      <c r="AB128">
        <f ca="1"/>
        <v>0.9</v>
      </c>
      <c r="AC128">
        <f ca="1"/>
        <v>6.76</v>
      </c>
      <c r="AD128">
        <f ca="1"/>
        <v>1.6</v>
      </c>
      <c r="AE128">
        <f ca="1"/>
        <v>6.76</v>
      </c>
    </row>
    <row r="129" spans="1:31" x14ac:dyDescent="0.25">
      <c r="A129">
        <f ca="1"/>
        <v>128</v>
      </c>
      <c r="B129">
        <f ca="1"/>
        <v>3</v>
      </c>
      <c r="C129">
        <f ca="1"/>
        <v>31</v>
      </c>
      <c r="D129" s="17">
        <f ca="1"/>
        <v>693359.67376256618</v>
      </c>
      <c r="E129" s="17">
        <f ca="1"/>
        <v>7574887.1828533011</v>
      </c>
      <c r="F129">
        <f ca="1"/>
        <v>326.60608520507799</v>
      </c>
      <c r="G129">
        <f ca="1"/>
        <v>0</v>
      </c>
      <c r="H129">
        <f ca="1"/>
        <v>0</v>
      </c>
      <c r="I129" t="str">
        <f ca="1"/>
        <v>MIN NO MERGE</v>
      </c>
      <c r="J129">
        <f ca="1"/>
        <v>16</v>
      </c>
      <c r="K129" t="str">
        <f ca="1"/>
        <v>R-19</v>
      </c>
      <c r="L129" t="str">
        <f ca="1"/>
        <v>R-19</v>
      </c>
      <c r="M129">
        <f ca="1"/>
        <v>1</v>
      </c>
      <c r="N129">
        <f ca="1"/>
        <v>2.2461436968240411</v>
      </c>
      <c r="O129">
        <f ca="1"/>
        <v>2.2461436968240411</v>
      </c>
      <c r="P129">
        <f ca="1"/>
        <v>2.2461436968240411</v>
      </c>
      <c r="Q129">
        <f ca="1"/>
        <v>1.5707963267948966</v>
      </c>
      <c r="R129">
        <f ca="1"/>
        <v>693362.01173733606</v>
      </c>
      <c r="S129">
        <f ca="1"/>
        <v>7574889.6705578603</v>
      </c>
      <c r="T129">
        <f ca="1"/>
        <v>326.70608520507801</v>
      </c>
      <c r="U129">
        <f ca="1"/>
        <v>693376.96487060096</v>
      </c>
      <c r="V129">
        <f ca="1"/>
        <v>7574871.0023604203</v>
      </c>
      <c r="W129">
        <f ca="1"/>
        <v>326.90853881835898</v>
      </c>
      <c r="X129">
        <f ca="1"/>
        <v>693362.01173733606</v>
      </c>
      <c r="Y129">
        <f ca="1"/>
        <v>7574889.6705578603</v>
      </c>
      <c r="Z129">
        <f ca="1"/>
        <v>326.70608520507801</v>
      </c>
      <c r="AA129">
        <f ca="1"/>
        <v>4</v>
      </c>
      <c r="AB129">
        <f ca="1"/>
        <v>0.9</v>
      </c>
      <c r="AC129">
        <f ca="1"/>
        <v>6.76</v>
      </c>
      <c r="AD129">
        <f ca="1"/>
        <v>1.6</v>
      </c>
      <c r="AE129">
        <f ca="1"/>
        <v>6.76</v>
      </c>
    </row>
    <row r="130" spans="1:31" x14ac:dyDescent="0.25">
      <c r="A130">
        <f ca="1"/>
        <v>129</v>
      </c>
      <c r="B130">
        <f ca="1"/>
        <v>0</v>
      </c>
      <c r="C130">
        <f ca="1"/>
        <v>32</v>
      </c>
      <c r="D130" s="17">
        <f ca="1"/>
        <v>687646.27099806047</v>
      </c>
      <c r="E130" s="17">
        <f ca="1"/>
        <v>7566198.3471675375</v>
      </c>
      <c r="F130">
        <f ca="1"/>
        <v>381.102606201171</v>
      </c>
      <c r="G130">
        <f ca="1"/>
        <v>0</v>
      </c>
      <c r="H130">
        <f ca="1"/>
        <v>0</v>
      </c>
      <c r="I130" t="str">
        <f ca="1"/>
        <v>MIN NO MERGE</v>
      </c>
      <c r="J130">
        <f ca="1"/>
        <v>17</v>
      </c>
      <c r="K130" t="str">
        <f ca="1"/>
        <v>R-2</v>
      </c>
      <c r="L130" t="str">
        <f ca="1"/>
        <v>R-2</v>
      </c>
      <c r="M130">
        <f ca="1"/>
        <v>0</v>
      </c>
      <c r="N130">
        <f ca="1"/>
        <v>-1.4067080314771552</v>
      </c>
      <c r="O130">
        <f ca="1"/>
        <v>-1.4067080314771552</v>
      </c>
      <c r="P130">
        <f ca="1"/>
        <v>1.7348846221126388</v>
      </c>
      <c r="Q130">
        <f ca="1"/>
        <v>1.5707963267948966</v>
      </c>
      <c r="R130">
        <f ca="1"/>
        <v>687647.90818442998</v>
      </c>
      <c r="S130">
        <f ca="1"/>
        <v>7566198.13171269</v>
      </c>
      <c r="T130">
        <f ca="1"/>
        <v>381.20260620117102</v>
      </c>
      <c r="U130">
        <f ca="1"/>
        <v>687647.90818442998</v>
      </c>
      <c r="V130">
        <f ca="1"/>
        <v>7566198.13171269</v>
      </c>
      <c r="W130">
        <f ca="1"/>
        <v>381.20260620117102</v>
      </c>
      <c r="X130">
        <f ca="1"/>
        <v>687639.36691419396</v>
      </c>
      <c r="Y130">
        <f ca="1"/>
        <v>7566249.7165893205</v>
      </c>
      <c r="Z130">
        <f ca="1"/>
        <v>379.03842163085898</v>
      </c>
      <c r="AA130">
        <f ca="1"/>
        <v>1</v>
      </c>
      <c r="AB130">
        <f ca="1"/>
        <v>1.5</v>
      </c>
      <c r="AC130">
        <f ca="1"/>
        <v>3.16</v>
      </c>
      <c r="AD130">
        <f ca="1"/>
        <v>1.6</v>
      </c>
      <c r="AE130">
        <f ca="1"/>
        <v>3.16</v>
      </c>
    </row>
    <row r="131" spans="1:31" x14ac:dyDescent="0.25">
      <c r="A131">
        <f ca="1"/>
        <v>130</v>
      </c>
      <c r="B131">
        <f ca="1"/>
        <v>1</v>
      </c>
      <c r="C131">
        <f ca="1"/>
        <v>32</v>
      </c>
      <c r="D131" s="17">
        <f ca="1"/>
        <v>687646.53236276552</v>
      </c>
      <c r="E131" s="17">
        <f ca="1"/>
        <v>7566196.7686592257</v>
      </c>
      <c r="F131">
        <f ca="1"/>
        <v>381.102606201171</v>
      </c>
      <c r="G131">
        <f ca="1"/>
        <v>0</v>
      </c>
      <c r="H131">
        <f ca="1"/>
        <v>0</v>
      </c>
      <c r="I131" t="str">
        <f ca="1"/>
        <v>MIN NO MERGE</v>
      </c>
      <c r="J131">
        <f ca="1"/>
        <v>17</v>
      </c>
      <c r="K131" t="str">
        <f ca="1"/>
        <v>R-2</v>
      </c>
      <c r="L131" t="str">
        <f ca="1"/>
        <v>R-2</v>
      </c>
      <c r="M131">
        <f ca="1"/>
        <v>0</v>
      </c>
      <c r="N131">
        <f ca="1"/>
        <v>-1.4067080314771552</v>
      </c>
      <c r="O131">
        <f ca="1"/>
        <v>-1.4067080314771552</v>
      </c>
      <c r="P131">
        <f ca="1"/>
        <v>1.7348846221126388</v>
      </c>
      <c r="Q131">
        <f ca="1"/>
        <v>1.5707963267948966</v>
      </c>
      <c r="R131">
        <f ca="1"/>
        <v>687647.90818442998</v>
      </c>
      <c r="S131">
        <f ca="1"/>
        <v>7566198.13171269</v>
      </c>
      <c r="T131">
        <f ca="1"/>
        <v>381.20260620117102</v>
      </c>
      <c r="U131">
        <f ca="1"/>
        <v>687647.90818442998</v>
      </c>
      <c r="V131">
        <f ca="1"/>
        <v>7566198.13171269</v>
      </c>
      <c r="W131">
        <f ca="1"/>
        <v>381.20260620117102</v>
      </c>
      <c r="X131">
        <f ca="1"/>
        <v>687639.36691419396</v>
      </c>
      <c r="Y131">
        <f ca="1"/>
        <v>7566249.7165893205</v>
      </c>
      <c r="Z131">
        <f ca="1"/>
        <v>379.03842163085898</v>
      </c>
      <c r="AA131">
        <f ca="1"/>
        <v>1</v>
      </c>
      <c r="AB131">
        <f ca="1"/>
        <v>1.5</v>
      </c>
      <c r="AC131">
        <f ca="1"/>
        <v>3.16</v>
      </c>
      <c r="AD131">
        <f ca="1"/>
        <v>1.6</v>
      </c>
      <c r="AE131">
        <f ca="1"/>
        <v>3.16</v>
      </c>
    </row>
    <row r="132" spans="1:31" x14ac:dyDescent="0.25">
      <c r="A132">
        <f ca="1"/>
        <v>131</v>
      </c>
      <c r="B132">
        <f ca="1"/>
        <v>2</v>
      </c>
      <c r="C132">
        <f ca="1"/>
        <v>32</v>
      </c>
      <c r="D132" s="17">
        <f ca="1"/>
        <v>687649.64991668158</v>
      </c>
      <c r="E132" s="17">
        <f ca="1"/>
        <v>7566197.2848545173</v>
      </c>
      <c r="F132">
        <f ca="1"/>
        <v>381.102606201171</v>
      </c>
      <c r="G132">
        <f ca="1"/>
        <v>0</v>
      </c>
      <c r="H132">
        <f ca="1"/>
        <v>0</v>
      </c>
      <c r="I132" t="str">
        <f ca="1"/>
        <v>MIN NO MERGE</v>
      </c>
      <c r="J132">
        <f ca="1"/>
        <v>17</v>
      </c>
      <c r="K132" t="str">
        <f ca="1"/>
        <v>R-2</v>
      </c>
      <c r="L132" t="str">
        <f ca="1"/>
        <v>R-2</v>
      </c>
      <c r="M132">
        <f ca="1"/>
        <v>0</v>
      </c>
      <c r="N132">
        <f ca="1"/>
        <v>-1.4067080314771552</v>
      </c>
      <c r="O132">
        <f ca="1"/>
        <v>-1.4067080314771552</v>
      </c>
      <c r="P132">
        <f ca="1"/>
        <v>1.7348846221126388</v>
      </c>
      <c r="Q132">
        <f ca="1"/>
        <v>1.5707963267948966</v>
      </c>
      <c r="R132">
        <f ca="1"/>
        <v>687647.90818442998</v>
      </c>
      <c r="S132">
        <f ca="1"/>
        <v>7566198.13171269</v>
      </c>
      <c r="T132">
        <f ca="1"/>
        <v>381.20260620117102</v>
      </c>
      <c r="U132">
        <f ca="1"/>
        <v>687647.90818442998</v>
      </c>
      <c r="V132">
        <f ca="1"/>
        <v>7566198.13171269</v>
      </c>
      <c r="W132">
        <f ca="1"/>
        <v>381.20260620117102</v>
      </c>
      <c r="X132">
        <f ca="1"/>
        <v>687639.36691419396</v>
      </c>
      <c r="Y132">
        <f ca="1"/>
        <v>7566249.7165893205</v>
      </c>
      <c r="Z132">
        <f ca="1"/>
        <v>379.03842163085898</v>
      </c>
      <c r="AA132">
        <f ca="1"/>
        <v>1</v>
      </c>
      <c r="AB132">
        <f ca="1"/>
        <v>1.5</v>
      </c>
      <c r="AC132">
        <f ca="1"/>
        <v>3.16</v>
      </c>
      <c r="AD132">
        <f ca="1"/>
        <v>1.6</v>
      </c>
      <c r="AE132">
        <f ca="1"/>
        <v>3.16</v>
      </c>
    </row>
    <row r="133" spans="1:31" x14ac:dyDescent="0.25">
      <c r="A133">
        <f ca="1"/>
        <v>132</v>
      </c>
      <c r="B133">
        <f ca="1"/>
        <v>3</v>
      </c>
      <c r="C133">
        <f ca="1"/>
        <v>32</v>
      </c>
      <c r="D133" s="17">
        <f ca="1"/>
        <v>687649.38855197653</v>
      </c>
      <c r="E133" s="17">
        <f ca="1"/>
        <v>7566198.8633628292</v>
      </c>
      <c r="F133">
        <f ca="1"/>
        <v>381.102606201171</v>
      </c>
      <c r="G133">
        <f ca="1"/>
        <v>0</v>
      </c>
      <c r="H133">
        <f ca="1"/>
        <v>0</v>
      </c>
      <c r="I133" t="str">
        <f ca="1"/>
        <v>MIN NO MERGE</v>
      </c>
      <c r="J133">
        <f ca="1"/>
        <v>17</v>
      </c>
      <c r="K133" t="str">
        <f ca="1"/>
        <v>R-2</v>
      </c>
      <c r="L133" t="str">
        <f ca="1"/>
        <v>R-2</v>
      </c>
      <c r="M133">
        <f ca="1"/>
        <v>0</v>
      </c>
      <c r="N133">
        <f ca="1"/>
        <v>-1.4067080314771552</v>
      </c>
      <c r="O133">
        <f ca="1"/>
        <v>-1.4067080314771552</v>
      </c>
      <c r="P133">
        <f ca="1"/>
        <v>1.7348846221126388</v>
      </c>
      <c r="Q133">
        <f ca="1"/>
        <v>1.5707963267948966</v>
      </c>
      <c r="R133">
        <f ca="1"/>
        <v>687647.90818442998</v>
      </c>
      <c r="S133">
        <f ca="1"/>
        <v>7566198.13171269</v>
      </c>
      <c r="T133">
        <f ca="1"/>
        <v>381.20260620117102</v>
      </c>
      <c r="U133">
        <f ca="1"/>
        <v>687647.90818442998</v>
      </c>
      <c r="V133">
        <f ca="1"/>
        <v>7566198.13171269</v>
      </c>
      <c r="W133">
        <f ca="1"/>
        <v>381.20260620117102</v>
      </c>
      <c r="X133">
        <f ca="1"/>
        <v>687639.36691419396</v>
      </c>
      <c r="Y133">
        <f ca="1"/>
        <v>7566249.7165893205</v>
      </c>
      <c r="Z133">
        <f ca="1"/>
        <v>379.03842163085898</v>
      </c>
      <c r="AA133">
        <f ca="1"/>
        <v>1</v>
      </c>
      <c r="AB133">
        <f ca="1"/>
        <v>1.5</v>
      </c>
      <c r="AC133">
        <f ca="1"/>
        <v>3.16</v>
      </c>
      <c r="AD133">
        <f ca="1"/>
        <v>1.6</v>
      </c>
      <c r="AE133">
        <f ca="1"/>
        <v>3.16</v>
      </c>
    </row>
    <row r="134" spans="1:31" x14ac:dyDescent="0.25">
      <c r="A134">
        <f ca="1"/>
        <v>133</v>
      </c>
      <c r="B134">
        <f ca="1"/>
        <v>0</v>
      </c>
      <c r="C134">
        <f ca="1"/>
        <v>33</v>
      </c>
      <c r="D134" s="17">
        <f ca="1"/>
        <v>687641.00410056347</v>
      </c>
      <c r="E134" s="17">
        <f ca="1"/>
        <v>7566249.5011344729</v>
      </c>
      <c r="F134">
        <f ca="1"/>
        <v>378.93842163085895</v>
      </c>
      <c r="G134">
        <f ca="1"/>
        <v>0</v>
      </c>
      <c r="H134">
        <f ca="1"/>
        <v>0</v>
      </c>
      <c r="I134" t="str">
        <f ca="1"/>
        <v>MIN NO MERGE</v>
      </c>
      <c r="J134">
        <f ca="1"/>
        <v>17</v>
      </c>
      <c r="K134" t="str">
        <f ca="1"/>
        <v>R-2</v>
      </c>
      <c r="L134" t="str">
        <f ca="1"/>
        <v>R-2</v>
      </c>
      <c r="M134">
        <f ca="1"/>
        <v>1</v>
      </c>
      <c r="N134">
        <f ca="1"/>
        <v>1.7348846221126388</v>
      </c>
      <c r="O134">
        <f ca="1"/>
        <v>1.7348846221126388</v>
      </c>
      <c r="P134">
        <f ca="1"/>
        <v>1.7348846221126388</v>
      </c>
      <c r="Q134">
        <f ca="1"/>
        <v>1.5707963267948966</v>
      </c>
      <c r="R134">
        <f ca="1"/>
        <v>687639.36691419396</v>
      </c>
      <c r="S134">
        <f ca="1"/>
        <v>7566249.7165893205</v>
      </c>
      <c r="T134">
        <f ca="1"/>
        <v>379.03842163085898</v>
      </c>
      <c r="U134">
        <f ca="1"/>
        <v>687647.90818442998</v>
      </c>
      <c r="V134">
        <f ca="1"/>
        <v>7566198.13171269</v>
      </c>
      <c r="W134">
        <f ca="1"/>
        <v>381.20260620117102</v>
      </c>
      <c r="X134">
        <f ca="1"/>
        <v>687639.36691419396</v>
      </c>
      <c r="Y134">
        <f ca="1"/>
        <v>7566249.7165893205</v>
      </c>
      <c r="Z134">
        <f ca="1"/>
        <v>379.03842163085898</v>
      </c>
      <c r="AA134">
        <f ca="1"/>
        <v>1</v>
      </c>
      <c r="AB134">
        <f ca="1"/>
        <v>1.5</v>
      </c>
      <c r="AC134">
        <f ca="1"/>
        <v>3.16</v>
      </c>
      <c r="AD134">
        <f ca="1"/>
        <v>1.6</v>
      </c>
      <c r="AE134">
        <f ca="1"/>
        <v>3.16</v>
      </c>
    </row>
    <row r="135" spans="1:31" x14ac:dyDescent="0.25">
      <c r="A135">
        <f ca="1"/>
        <v>134</v>
      </c>
      <c r="B135">
        <f ca="1"/>
        <v>1</v>
      </c>
      <c r="C135">
        <f ca="1"/>
        <v>33</v>
      </c>
      <c r="D135" s="17">
        <f ca="1"/>
        <v>687640.74273585842</v>
      </c>
      <c r="E135" s="17">
        <f ca="1"/>
        <v>7566251.0796427848</v>
      </c>
      <c r="F135">
        <f ca="1"/>
        <v>378.93842163085895</v>
      </c>
      <c r="G135">
        <f ca="1"/>
        <v>0</v>
      </c>
      <c r="H135">
        <f ca="1"/>
        <v>0</v>
      </c>
      <c r="I135" t="str">
        <f ca="1"/>
        <v>MIN NO MERGE</v>
      </c>
      <c r="J135">
        <f ca="1"/>
        <v>17</v>
      </c>
      <c r="K135" t="str">
        <f ca="1"/>
        <v>R-2</v>
      </c>
      <c r="L135" t="str">
        <f ca="1"/>
        <v>R-2</v>
      </c>
      <c r="M135">
        <f ca="1"/>
        <v>1</v>
      </c>
      <c r="N135">
        <f ca="1"/>
        <v>1.7348846221126388</v>
      </c>
      <c r="O135">
        <f ca="1"/>
        <v>1.7348846221126388</v>
      </c>
      <c r="P135">
        <f ca="1"/>
        <v>1.7348846221126388</v>
      </c>
      <c r="Q135">
        <f ca="1"/>
        <v>1.5707963267948966</v>
      </c>
      <c r="R135">
        <f ca="1"/>
        <v>687639.36691419396</v>
      </c>
      <c r="S135">
        <f ca="1"/>
        <v>7566249.7165893205</v>
      </c>
      <c r="T135">
        <f ca="1"/>
        <v>379.03842163085898</v>
      </c>
      <c r="U135">
        <f ca="1"/>
        <v>687647.90818442998</v>
      </c>
      <c r="V135">
        <f ca="1"/>
        <v>7566198.13171269</v>
      </c>
      <c r="W135">
        <f ca="1"/>
        <v>381.20260620117102</v>
      </c>
      <c r="X135">
        <f ca="1"/>
        <v>687639.36691419396</v>
      </c>
      <c r="Y135">
        <f ca="1"/>
        <v>7566249.7165893205</v>
      </c>
      <c r="Z135">
        <f ca="1"/>
        <v>379.03842163085898</v>
      </c>
      <c r="AA135">
        <f ca="1"/>
        <v>1</v>
      </c>
      <c r="AB135">
        <f ca="1"/>
        <v>1.5</v>
      </c>
      <c r="AC135">
        <f ca="1"/>
        <v>3.16</v>
      </c>
      <c r="AD135">
        <f ca="1"/>
        <v>1.6</v>
      </c>
      <c r="AE135">
        <f ca="1"/>
        <v>3.16</v>
      </c>
    </row>
    <row r="136" spans="1:31" x14ac:dyDescent="0.25">
      <c r="A136">
        <f ca="1"/>
        <v>135</v>
      </c>
      <c r="B136">
        <f ca="1"/>
        <v>2</v>
      </c>
      <c r="C136">
        <f ca="1"/>
        <v>33</v>
      </c>
      <c r="D136" s="17">
        <f ca="1"/>
        <v>687637.62518194236</v>
      </c>
      <c r="E136" s="17">
        <f ca="1"/>
        <v>7566250.5634474931</v>
      </c>
      <c r="F136">
        <f ca="1"/>
        <v>378.93842163085895</v>
      </c>
      <c r="G136">
        <f ca="1"/>
        <v>0</v>
      </c>
      <c r="H136">
        <f ca="1"/>
        <v>0</v>
      </c>
      <c r="I136" t="str">
        <f ca="1"/>
        <v>MIN NO MERGE</v>
      </c>
      <c r="J136">
        <f ca="1"/>
        <v>17</v>
      </c>
      <c r="K136" t="str">
        <f ca="1"/>
        <v>R-2</v>
      </c>
      <c r="L136" t="str">
        <f ca="1"/>
        <v>R-2</v>
      </c>
      <c r="M136">
        <f ca="1"/>
        <v>1</v>
      </c>
      <c r="N136">
        <f ca="1"/>
        <v>1.7348846221126388</v>
      </c>
      <c r="O136">
        <f ca="1"/>
        <v>1.7348846221126388</v>
      </c>
      <c r="P136">
        <f ca="1"/>
        <v>1.7348846221126388</v>
      </c>
      <c r="Q136">
        <f ca="1"/>
        <v>1.5707963267948966</v>
      </c>
      <c r="R136">
        <f ca="1"/>
        <v>687639.36691419396</v>
      </c>
      <c r="S136">
        <f ca="1"/>
        <v>7566249.7165893205</v>
      </c>
      <c r="T136">
        <f ca="1"/>
        <v>379.03842163085898</v>
      </c>
      <c r="U136">
        <f ca="1"/>
        <v>687647.90818442998</v>
      </c>
      <c r="V136">
        <f ca="1"/>
        <v>7566198.13171269</v>
      </c>
      <c r="W136">
        <f ca="1"/>
        <v>381.20260620117102</v>
      </c>
      <c r="X136">
        <f ca="1"/>
        <v>687639.36691419396</v>
      </c>
      <c r="Y136">
        <f ca="1"/>
        <v>7566249.7165893205</v>
      </c>
      <c r="Z136">
        <f ca="1"/>
        <v>379.03842163085898</v>
      </c>
      <c r="AA136">
        <f ca="1"/>
        <v>1</v>
      </c>
      <c r="AB136">
        <f ca="1"/>
        <v>1.5</v>
      </c>
      <c r="AC136">
        <f ca="1"/>
        <v>3.16</v>
      </c>
      <c r="AD136">
        <f ca="1"/>
        <v>1.6</v>
      </c>
      <c r="AE136">
        <f ca="1"/>
        <v>3.16</v>
      </c>
    </row>
    <row r="137" spans="1:31" x14ac:dyDescent="0.25">
      <c r="A137">
        <f ca="1"/>
        <v>136</v>
      </c>
      <c r="B137">
        <f ca="1"/>
        <v>3</v>
      </c>
      <c r="C137">
        <f ca="1"/>
        <v>33</v>
      </c>
      <c r="D137" s="17">
        <f ca="1"/>
        <v>687637.88654664741</v>
      </c>
      <c r="E137" s="17">
        <f ca="1"/>
        <v>7566248.9849391812</v>
      </c>
      <c r="F137">
        <f ca="1"/>
        <v>378.93842163085895</v>
      </c>
      <c r="G137">
        <f ca="1"/>
        <v>0</v>
      </c>
      <c r="H137">
        <f ca="1"/>
        <v>0</v>
      </c>
      <c r="I137" t="str">
        <f ca="1"/>
        <v>MIN NO MERGE</v>
      </c>
      <c r="J137">
        <f ca="1"/>
        <v>17</v>
      </c>
      <c r="K137" t="str">
        <f ca="1"/>
        <v>R-2</v>
      </c>
      <c r="L137" t="str">
        <f ca="1"/>
        <v>R-2</v>
      </c>
      <c r="M137">
        <f ca="1"/>
        <v>1</v>
      </c>
      <c r="N137">
        <f ca="1"/>
        <v>1.7348846221126388</v>
      </c>
      <c r="O137">
        <f ca="1"/>
        <v>1.7348846221126388</v>
      </c>
      <c r="P137">
        <f ca="1"/>
        <v>1.7348846221126388</v>
      </c>
      <c r="Q137">
        <f ca="1"/>
        <v>1.5707963267948966</v>
      </c>
      <c r="R137">
        <f ca="1"/>
        <v>687639.36691419396</v>
      </c>
      <c r="S137">
        <f ca="1"/>
        <v>7566249.7165893205</v>
      </c>
      <c r="T137">
        <f ca="1"/>
        <v>379.03842163085898</v>
      </c>
      <c r="U137">
        <f ca="1"/>
        <v>687647.90818442998</v>
      </c>
      <c r="V137">
        <f ca="1"/>
        <v>7566198.13171269</v>
      </c>
      <c r="W137">
        <f ca="1"/>
        <v>381.20260620117102</v>
      </c>
      <c r="X137">
        <f ca="1"/>
        <v>687639.36691419396</v>
      </c>
      <c r="Y137">
        <f ca="1"/>
        <v>7566249.7165893205</v>
      </c>
      <c r="Z137">
        <f ca="1"/>
        <v>379.03842163085898</v>
      </c>
      <c r="AA137">
        <f ca="1"/>
        <v>1</v>
      </c>
      <c r="AB137">
        <f ca="1"/>
        <v>1.5</v>
      </c>
      <c r="AC137">
        <f ca="1"/>
        <v>3.16</v>
      </c>
      <c r="AD137">
        <f ca="1"/>
        <v>1.6</v>
      </c>
      <c r="AE137">
        <f ca="1"/>
        <v>3.16</v>
      </c>
    </row>
    <row r="138" spans="1:31" x14ac:dyDescent="0.25">
      <c r="A138">
        <f ca="1"/>
        <v>137</v>
      </c>
      <c r="B138">
        <f ca="1"/>
        <v>0</v>
      </c>
      <c r="C138">
        <f ca="1"/>
        <v>34</v>
      </c>
      <c r="D138" s="17">
        <f ca="1"/>
        <v>694738.64413778298</v>
      </c>
      <c r="E138" s="17">
        <f ca="1"/>
        <v>7576882.8012862829</v>
      </c>
      <c r="F138">
        <f ca="1"/>
        <v>315.22699999999998</v>
      </c>
      <c r="G138">
        <f ca="1"/>
        <v>0</v>
      </c>
      <c r="H138">
        <f ca="1"/>
        <v>0</v>
      </c>
      <c r="I138" t="str">
        <f ca="1"/>
        <v>MIN NO MERGE</v>
      </c>
      <c r="J138">
        <f ca="1"/>
        <v>18</v>
      </c>
      <c r="K138" t="str">
        <f ca="1"/>
        <v>R-20</v>
      </c>
      <c r="L138" t="str">
        <f ca="1"/>
        <v>R-20</v>
      </c>
      <c r="M138">
        <f ca="1"/>
        <v>0</v>
      </c>
      <c r="N138">
        <f ca="1"/>
        <v>-1.4374885115431848</v>
      </c>
      <c r="O138">
        <f ca="1"/>
        <v>-1.4374885115431848</v>
      </c>
      <c r="P138">
        <f ca="1"/>
        <v>1.7041041420466083</v>
      </c>
      <c r="Q138">
        <f ca="1"/>
        <v>1.5707963267948966</v>
      </c>
      <c r="R138">
        <f ca="1"/>
        <v>694752.04851453996</v>
      </c>
      <c r="S138">
        <f ca="1"/>
        <v>7576884.1145584397</v>
      </c>
      <c r="T138">
        <f ca="1"/>
        <v>315.327</v>
      </c>
      <c r="U138">
        <f ca="1"/>
        <v>694752.04851453996</v>
      </c>
      <c r="V138">
        <f ca="1"/>
        <v>7576884.1145584397</v>
      </c>
      <c r="W138">
        <f ca="1"/>
        <v>315.327</v>
      </c>
      <c r="X138">
        <f ca="1"/>
        <v>694747.08053479204</v>
      </c>
      <c r="Y138">
        <f ca="1"/>
        <v>7576921.1605200898</v>
      </c>
      <c r="Z138">
        <f ca="1"/>
        <v>315.01</v>
      </c>
      <c r="AA138">
        <f ca="1"/>
        <v>12</v>
      </c>
      <c r="AB138">
        <f ca="1"/>
        <v>1.5</v>
      </c>
      <c r="AC138">
        <f ca="1"/>
        <v>26.92</v>
      </c>
      <c r="AD138">
        <f ca="1"/>
        <v>1.6</v>
      </c>
      <c r="AE138">
        <f ca="1"/>
        <v>26.92</v>
      </c>
    </row>
    <row r="139" spans="1:31" x14ac:dyDescent="0.25">
      <c r="A139">
        <f ca="1"/>
        <v>138</v>
      </c>
      <c r="B139">
        <f ca="1"/>
        <v>1</v>
      </c>
      <c r="C139">
        <f ca="1"/>
        <v>34</v>
      </c>
      <c r="D139" s="17">
        <f ca="1"/>
        <v>694738.85679911252</v>
      </c>
      <c r="E139" s="17">
        <f ca="1"/>
        <v>7576881.2154820208</v>
      </c>
      <c r="F139">
        <f ca="1"/>
        <v>315.22699999999998</v>
      </c>
      <c r="G139">
        <f ca="1"/>
        <v>0</v>
      </c>
      <c r="H139">
        <f ca="1"/>
        <v>0</v>
      </c>
      <c r="I139" t="str">
        <f ca="1"/>
        <v>MIN NO MERGE</v>
      </c>
      <c r="J139">
        <f ca="1"/>
        <v>18</v>
      </c>
      <c r="K139" t="str">
        <f ca="1"/>
        <v>R-20</v>
      </c>
      <c r="L139" t="str">
        <f ca="1"/>
        <v>R-20</v>
      </c>
      <c r="M139">
        <f ca="1"/>
        <v>0</v>
      </c>
      <c r="N139">
        <f ca="1"/>
        <v>-1.4374885115431848</v>
      </c>
      <c r="O139">
        <f ca="1"/>
        <v>-1.4374885115431848</v>
      </c>
      <c r="P139">
        <f ca="1"/>
        <v>1.7041041420466083</v>
      </c>
      <c r="Q139">
        <f ca="1"/>
        <v>1.5707963267948966</v>
      </c>
      <c r="R139">
        <f ca="1"/>
        <v>694752.04851453996</v>
      </c>
      <c r="S139">
        <f ca="1"/>
        <v>7576884.1145584397</v>
      </c>
      <c r="T139">
        <f ca="1"/>
        <v>315.327</v>
      </c>
      <c r="U139">
        <f ca="1"/>
        <v>694752.04851453996</v>
      </c>
      <c r="V139">
        <f ca="1"/>
        <v>7576884.1145584397</v>
      </c>
      <c r="W139">
        <f ca="1"/>
        <v>315.327</v>
      </c>
      <c r="X139">
        <f ca="1"/>
        <v>694747.08053479204</v>
      </c>
      <c r="Y139">
        <f ca="1"/>
        <v>7576921.1605200898</v>
      </c>
      <c r="Z139">
        <f ca="1"/>
        <v>315.01</v>
      </c>
      <c r="AA139">
        <f ca="1"/>
        <v>12</v>
      </c>
      <c r="AB139">
        <f ca="1"/>
        <v>1.5</v>
      </c>
      <c r="AC139">
        <f ca="1"/>
        <v>26.92</v>
      </c>
      <c r="AD139">
        <f ca="1"/>
        <v>1.6</v>
      </c>
      <c r="AE139">
        <f ca="1"/>
        <v>26.92</v>
      </c>
    </row>
    <row r="140" spans="1:31" x14ac:dyDescent="0.25">
      <c r="A140">
        <f ca="1"/>
        <v>139</v>
      </c>
      <c r="B140">
        <f ca="1"/>
        <v>2</v>
      </c>
      <c r="C140">
        <f ca="1"/>
        <v>34</v>
      </c>
      <c r="D140" s="17">
        <f ca="1"/>
        <v>694765.53795582883</v>
      </c>
      <c r="E140" s="17">
        <f ca="1"/>
        <v>7576884.793508891</v>
      </c>
      <c r="F140">
        <f ca="1"/>
        <v>315.22699999999998</v>
      </c>
      <c r="G140">
        <f ca="1"/>
        <v>0</v>
      </c>
      <c r="H140">
        <f ca="1"/>
        <v>0</v>
      </c>
      <c r="I140" t="str">
        <f ca="1"/>
        <v>MIN NO MERGE</v>
      </c>
      <c r="J140">
        <f ca="1"/>
        <v>18</v>
      </c>
      <c r="K140" t="str">
        <f ca="1"/>
        <v>R-20</v>
      </c>
      <c r="L140" t="str">
        <f ca="1"/>
        <v>R-20</v>
      </c>
      <c r="M140">
        <f ca="1"/>
        <v>0</v>
      </c>
      <c r="N140">
        <f ca="1"/>
        <v>-1.4374885115431848</v>
      </c>
      <c r="O140">
        <f ca="1"/>
        <v>-1.4374885115431848</v>
      </c>
      <c r="P140">
        <f ca="1"/>
        <v>1.7041041420466083</v>
      </c>
      <c r="Q140">
        <f ca="1"/>
        <v>1.5707963267948966</v>
      </c>
      <c r="R140">
        <f ca="1"/>
        <v>694752.04851453996</v>
      </c>
      <c r="S140">
        <f ca="1"/>
        <v>7576884.1145584397</v>
      </c>
      <c r="T140">
        <f ca="1"/>
        <v>315.327</v>
      </c>
      <c r="U140">
        <f ca="1"/>
        <v>694752.04851453996</v>
      </c>
      <c r="V140">
        <f ca="1"/>
        <v>7576884.1145584397</v>
      </c>
      <c r="W140">
        <f ca="1"/>
        <v>315.327</v>
      </c>
      <c r="X140">
        <f ca="1"/>
        <v>694747.08053479204</v>
      </c>
      <c r="Y140">
        <f ca="1"/>
        <v>7576921.1605200898</v>
      </c>
      <c r="Z140">
        <f ca="1"/>
        <v>315.01</v>
      </c>
      <c r="AA140">
        <f ca="1"/>
        <v>12</v>
      </c>
      <c r="AB140">
        <f ca="1"/>
        <v>1.5</v>
      </c>
      <c r="AC140">
        <f ca="1"/>
        <v>26.92</v>
      </c>
      <c r="AD140">
        <f ca="1"/>
        <v>1.6</v>
      </c>
      <c r="AE140">
        <f ca="1"/>
        <v>26.92</v>
      </c>
    </row>
    <row r="141" spans="1:31" x14ac:dyDescent="0.25">
      <c r="A141">
        <f ca="1"/>
        <v>140</v>
      </c>
      <c r="B141">
        <f ca="1"/>
        <v>3</v>
      </c>
      <c r="C141">
        <f ca="1"/>
        <v>34</v>
      </c>
      <c r="D141" s="17">
        <f ca="1"/>
        <v>694765.32529449929</v>
      </c>
      <c r="E141" s="17">
        <f ca="1"/>
        <v>7576886.3793131532</v>
      </c>
      <c r="F141">
        <f ca="1"/>
        <v>315.22699999999998</v>
      </c>
      <c r="G141">
        <f ca="1"/>
        <v>0</v>
      </c>
      <c r="H141">
        <f ca="1"/>
        <v>0</v>
      </c>
      <c r="I141" t="str">
        <f ca="1"/>
        <v>MIN NO MERGE</v>
      </c>
      <c r="J141">
        <f ca="1"/>
        <v>18</v>
      </c>
      <c r="K141" t="str">
        <f ca="1"/>
        <v>R-20</v>
      </c>
      <c r="L141" t="str">
        <f ca="1"/>
        <v>R-20</v>
      </c>
      <c r="M141">
        <f ca="1"/>
        <v>0</v>
      </c>
      <c r="N141">
        <f ca="1"/>
        <v>-1.4374885115431848</v>
      </c>
      <c r="O141">
        <f ca="1"/>
        <v>-1.4374885115431848</v>
      </c>
      <c r="P141">
        <f ca="1"/>
        <v>1.7041041420466083</v>
      </c>
      <c r="Q141">
        <f ca="1"/>
        <v>1.5707963267948966</v>
      </c>
      <c r="R141">
        <f ca="1"/>
        <v>694752.04851453996</v>
      </c>
      <c r="S141">
        <f ca="1"/>
        <v>7576884.1145584397</v>
      </c>
      <c r="T141">
        <f ca="1"/>
        <v>315.327</v>
      </c>
      <c r="U141">
        <f ca="1"/>
        <v>694752.04851453996</v>
      </c>
      <c r="V141">
        <f ca="1"/>
        <v>7576884.1145584397</v>
      </c>
      <c r="W141">
        <f ca="1"/>
        <v>315.327</v>
      </c>
      <c r="X141">
        <f ca="1"/>
        <v>694747.08053479204</v>
      </c>
      <c r="Y141">
        <f ca="1"/>
        <v>7576921.1605200898</v>
      </c>
      <c r="Z141">
        <f ca="1"/>
        <v>315.01</v>
      </c>
      <c r="AA141">
        <f ca="1"/>
        <v>12</v>
      </c>
      <c r="AB141">
        <f ca="1"/>
        <v>1.5</v>
      </c>
      <c r="AC141">
        <f ca="1"/>
        <v>26.92</v>
      </c>
      <c r="AD141">
        <f ca="1"/>
        <v>1.6</v>
      </c>
      <c r="AE141">
        <f ca="1"/>
        <v>26.92</v>
      </c>
    </row>
    <row r="142" spans="1:31" x14ac:dyDescent="0.25">
      <c r="A142">
        <f ca="1"/>
        <v>141</v>
      </c>
      <c r="B142">
        <f ca="1"/>
        <v>0</v>
      </c>
      <c r="C142">
        <f ca="1"/>
        <v>35</v>
      </c>
      <c r="D142" s="17">
        <f ca="1"/>
        <v>694760.48491154902</v>
      </c>
      <c r="E142" s="17">
        <f ca="1"/>
        <v>7576922.4737922465</v>
      </c>
      <c r="F142">
        <f ca="1"/>
        <v>314.90999999999997</v>
      </c>
      <c r="G142">
        <f ca="1"/>
        <v>0</v>
      </c>
      <c r="H142">
        <f ca="1"/>
        <v>0</v>
      </c>
      <c r="I142" t="str">
        <f ca="1"/>
        <v>MIN NO MERGE</v>
      </c>
      <c r="J142">
        <f ca="1"/>
        <v>18</v>
      </c>
      <c r="K142" t="str">
        <f ca="1"/>
        <v>R-20</v>
      </c>
      <c r="L142" t="str">
        <f ca="1"/>
        <v>R-20</v>
      </c>
      <c r="M142">
        <f ca="1"/>
        <v>1</v>
      </c>
      <c r="N142">
        <f ca="1"/>
        <v>1.7041041420466083</v>
      </c>
      <c r="O142">
        <f ca="1"/>
        <v>1.7041041420466083</v>
      </c>
      <c r="P142">
        <f ca="1"/>
        <v>1.7041041420466083</v>
      </c>
      <c r="Q142">
        <f ca="1"/>
        <v>1.5707963267948966</v>
      </c>
      <c r="R142">
        <f ca="1"/>
        <v>694747.08053479204</v>
      </c>
      <c r="S142">
        <f ca="1"/>
        <v>7576921.1605200898</v>
      </c>
      <c r="T142">
        <f ca="1"/>
        <v>315.01</v>
      </c>
      <c r="U142">
        <f ca="1"/>
        <v>694752.04851453996</v>
      </c>
      <c r="V142">
        <f ca="1"/>
        <v>7576884.1145584397</v>
      </c>
      <c r="W142">
        <f ca="1"/>
        <v>315.327</v>
      </c>
      <c r="X142">
        <f ca="1"/>
        <v>694747.08053479204</v>
      </c>
      <c r="Y142">
        <f ca="1"/>
        <v>7576921.1605200898</v>
      </c>
      <c r="Z142">
        <f ca="1"/>
        <v>315.01</v>
      </c>
      <c r="AA142">
        <f ca="1"/>
        <v>12</v>
      </c>
      <c r="AB142">
        <f ca="1"/>
        <v>1.5</v>
      </c>
      <c r="AC142">
        <f ca="1"/>
        <v>26.92</v>
      </c>
      <c r="AD142">
        <f ca="1"/>
        <v>1.6</v>
      </c>
      <c r="AE142">
        <f ca="1"/>
        <v>26.92</v>
      </c>
    </row>
    <row r="143" spans="1:31" x14ac:dyDescent="0.25">
      <c r="A143">
        <f ca="1"/>
        <v>142</v>
      </c>
      <c r="B143">
        <f ca="1"/>
        <v>1</v>
      </c>
      <c r="C143">
        <f ca="1"/>
        <v>35</v>
      </c>
      <c r="D143" s="17">
        <f ca="1"/>
        <v>694760.27225021948</v>
      </c>
      <c r="E143" s="17">
        <f ca="1"/>
        <v>7576924.0595965087</v>
      </c>
      <c r="F143">
        <f ca="1"/>
        <v>314.90999999999997</v>
      </c>
      <c r="G143">
        <f ca="1"/>
        <v>0</v>
      </c>
      <c r="H143">
        <f ca="1"/>
        <v>0</v>
      </c>
      <c r="I143" t="str">
        <f ca="1"/>
        <v>MIN NO MERGE</v>
      </c>
      <c r="J143">
        <f ca="1"/>
        <v>18</v>
      </c>
      <c r="K143" t="str">
        <f ca="1"/>
        <v>R-20</v>
      </c>
      <c r="L143" t="str">
        <f ca="1"/>
        <v>R-20</v>
      </c>
      <c r="M143">
        <f ca="1"/>
        <v>1</v>
      </c>
      <c r="N143">
        <f ca="1"/>
        <v>1.7041041420466083</v>
      </c>
      <c r="O143">
        <f ca="1"/>
        <v>1.7041041420466083</v>
      </c>
      <c r="P143">
        <f ca="1"/>
        <v>1.7041041420466083</v>
      </c>
      <c r="Q143">
        <f ca="1"/>
        <v>1.5707963267948966</v>
      </c>
      <c r="R143">
        <f ca="1"/>
        <v>694747.08053479204</v>
      </c>
      <c r="S143">
        <f ca="1"/>
        <v>7576921.1605200898</v>
      </c>
      <c r="T143">
        <f ca="1"/>
        <v>315.01</v>
      </c>
      <c r="U143">
        <f ca="1"/>
        <v>694752.04851453996</v>
      </c>
      <c r="V143">
        <f ca="1"/>
        <v>7576884.1145584397</v>
      </c>
      <c r="W143">
        <f ca="1"/>
        <v>315.327</v>
      </c>
      <c r="X143">
        <f ca="1"/>
        <v>694747.08053479204</v>
      </c>
      <c r="Y143">
        <f ca="1"/>
        <v>7576921.1605200898</v>
      </c>
      <c r="Z143">
        <f ca="1"/>
        <v>315.01</v>
      </c>
      <c r="AA143">
        <f ca="1"/>
        <v>12</v>
      </c>
      <c r="AB143">
        <f ca="1"/>
        <v>1.5</v>
      </c>
      <c r="AC143">
        <f ca="1"/>
        <v>26.92</v>
      </c>
      <c r="AD143">
        <f ca="1"/>
        <v>1.6</v>
      </c>
      <c r="AE143">
        <f ca="1"/>
        <v>26.92</v>
      </c>
    </row>
    <row r="144" spans="1:31" x14ac:dyDescent="0.25">
      <c r="A144">
        <f ca="1"/>
        <v>143</v>
      </c>
      <c r="B144">
        <f ca="1"/>
        <v>2</v>
      </c>
      <c r="C144">
        <f ca="1"/>
        <v>35</v>
      </c>
      <c r="D144" s="17">
        <f ca="1"/>
        <v>694733.59109350317</v>
      </c>
      <c r="E144" s="17">
        <f ca="1"/>
        <v>7576920.4815696385</v>
      </c>
      <c r="F144">
        <f ca="1"/>
        <v>314.90999999999997</v>
      </c>
      <c r="G144">
        <f ca="1"/>
        <v>0</v>
      </c>
      <c r="H144">
        <f ca="1"/>
        <v>0</v>
      </c>
      <c r="I144" t="str">
        <f ca="1"/>
        <v>MIN NO MERGE</v>
      </c>
      <c r="J144">
        <f ca="1"/>
        <v>18</v>
      </c>
      <c r="K144" t="str">
        <f ca="1"/>
        <v>R-20</v>
      </c>
      <c r="L144" t="str">
        <f ca="1"/>
        <v>R-20</v>
      </c>
      <c r="M144">
        <f ca="1"/>
        <v>1</v>
      </c>
      <c r="N144">
        <f ca="1"/>
        <v>1.7041041420466083</v>
      </c>
      <c r="O144">
        <f ca="1"/>
        <v>1.7041041420466083</v>
      </c>
      <c r="P144">
        <f ca="1"/>
        <v>1.7041041420466083</v>
      </c>
      <c r="Q144">
        <f ca="1"/>
        <v>1.5707963267948966</v>
      </c>
      <c r="R144">
        <f ca="1"/>
        <v>694747.08053479204</v>
      </c>
      <c r="S144">
        <f ca="1"/>
        <v>7576921.1605200898</v>
      </c>
      <c r="T144">
        <f ca="1"/>
        <v>315.01</v>
      </c>
      <c r="U144">
        <f ca="1"/>
        <v>694752.04851453996</v>
      </c>
      <c r="V144">
        <f ca="1"/>
        <v>7576884.1145584397</v>
      </c>
      <c r="W144">
        <f ca="1"/>
        <v>315.327</v>
      </c>
      <c r="X144">
        <f ca="1"/>
        <v>694747.08053479204</v>
      </c>
      <c r="Y144">
        <f ca="1"/>
        <v>7576921.1605200898</v>
      </c>
      <c r="Z144">
        <f ca="1"/>
        <v>315.01</v>
      </c>
      <c r="AA144">
        <f ca="1"/>
        <v>12</v>
      </c>
      <c r="AB144">
        <f ca="1"/>
        <v>1.5</v>
      </c>
      <c r="AC144">
        <f ca="1"/>
        <v>26.92</v>
      </c>
      <c r="AD144">
        <f ca="1"/>
        <v>1.6</v>
      </c>
      <c r="AE144">
        <f ca="1"/>
        <v>26.92</v>
      </c>
    </row>
    <row r="145" spans="1:31" x14ac:dyDescent="0.25">
      <c r="A145">
        <f ca="1"/>
        <v>144</v>
      </c>
      <c r="B145">
        <f ca="1"/>
        <v>3</v>
      </c>
      <c r="C145">
        <f ca="1"/>
        <v>35</v>
      </c>
      <c r="D145" s="17">
        <f ca="1"/>
        <v>694733.80375483271</v>
      </c>
      <c r="E145" s="17">
        <f ca="1"/>
        <v>7576918.8957653763</v>
      </c>
      <c r="F145">
        <f ca="1"/>
        <v>314.90999999999997</v>
      </c>
      <c r="G145">
        <f ca="1"/>
        <v>0</v>
      </c>
      <c r="H145">
        <f ca="1"/>
        <v>0</v>
      </c>
      <c r="I145" t="str">
        <f ca="1"/>
        <v>MIN NO MERGE</v>
      </c>
      <c r="J145">
        <f ca="1"/>
        <v>18</v>
      </c>
      <c r="K145" t="str">
        <f ca="1"/>
        <v>R-20</v>
      </c>
      <c r="L145" t="str">
        <f ca="1"/>
        <v>R-20</v>
      </c>
      <c r="M145">
        <f ca="1"/>
        <v>1</v>
      </c>
      <c r="N145">
        <f ca="1"/>
        <v>1.7041041420466083</v>
      </c>
      <c r="O145">
        <f ca="1"/>
        <v>1.7041041420466083</v>
      </c>
      <c r="P145">
        <f ca="1"/>
        <v>1.7041041420466083</v>
      </c>
      <c r="Q145">
        <f ca="1"/>
        <v>1.5707963267948966</v>
      </c>
      <c r="R145">
        <f ca="1"/>
        <v>694747.08053479204</v>
      </c>
      <c r="S145">
        <f ca="1"/>
        <v>7576921.1605200898</v>
      </c>
      <c r="T145">
        <f ca="1"/>
        <v>315.01</v>
      </c>
      <c r="U145">
        <f ca="1"/>
        <v>694752.04851453996</v>
      </c>
      <c r="V145">
        <f ca="1"/>
        <v>7576884.1145584397</v>
      </c>
      <c r="W145">
        <f ca="1"/>
        <v>315.327</v>
      </c>
      <c r="X145">
        <f ca="1"/>
        <v>694747.08053479204</v>
      </c>
      <c r="Y145">
        <f ca="1"/>
        <v>7576921.1605200898</v>
      </c>
      <c r="Z145">
        <f ca="1"/>
        <v>315.01</v>
      </c>
      <c r="AA145">
        <f ca="1"/>
        <v>12</v>
      </c>
      <c r="AB145">
        <f ca="1"/>
        <v>1.5</v>
      </c>
      <c r="AC145">
        <f ca="1"/>
        <v>26.92</v>
      </c>
      <c r="AD145">
        <f ca="1"/>
        <v>1.6</v>
      </c>
      <c r="AE145">
        <f ca="1"/>
        <v>26.92</v>
      </c>
    </row>
    <row r="146" spans="1:31" x14ac:dyDescent="0.25">
      <c r="A146">
        <f ca="1"/>
        <v>145</v>
      </c>
      <c r="B146">
        <f ca="1"/>
        <v>0</v>
      </c>
      <c r="C146">
        <f ca="1"/>
        <v>36</v>
      </c>
      <c r="D146" s="17">
        <f ca="1"/>
        <v>695651.78524985723</v>
      </c>
      <c r="E146" s="17">
        <f ca="1"/>
        <v>7577757.2127903095</v>
      </c>
      <c r="F146">
        <f ca="1"/>
        <v>316.71463623046799</v>
      </c>
      <c r="G146">
        <f ca="1"/>
        <v>0</v>
      </c>
      <c r="H146">
        <f ca="1"/>
        <v>0</v>
      </c>
      <c r="I146" t="str">
        <f ca="1"/>
        <v>MIN NO MERGE</v>
      </c>
      <c r="J146">
        <f ca="1"/>
        <v>19</v>
      </c>
      <c r="K146" t="str">
        <f ca="1"/>
        <v>R-21</v>
      </c>
      <c r="L146" t="str">
        <f ca="1"/>
        <v>R-21</v>
      </c>
      <c r="M146">
        <f ca="1"/>
        <v>0</v>
      </c>
      <c r="N146">
        <f ca="1"/>
        <v>-0.94417125289547243</v>
      </c>
      <c r="O146">
        <f ca="1"/>
        <v>-0.94417125289547243</v>
      </c>
      <c r="P146">
        <f ca="1"/>
        <v>2.1974214006943207</v>
      </c>
      <c r="Q146">
        <f ca="1"/>
        <v>1.5707963267948966</v>
      </c>
      <c r="R146">
        <f ca="1"/>
        <v>695655.97098285099</v>
      </c>
      <c r="S146">
        <f ca="1"/>
        <v>7577759.6505022096</v>
      </c>
      <c r="T146">
        <f ca="1"/>
        <v>316.81463623046801</v>
      </c>
      <c r="U146">
        <f ca="1"/>
        <v>695655.97098285099</v>
      </c>
      <c r="V146">
        <f ca="1"/>
        <v>7577759.6505022096</v>
      </c>
      <c r="W146">
        <f ca="1"/>
        <v>316.81463623046801</v>
      </c>
      <c r="X146">
        <f ca="1"/>
        <v>695630.15128690202</v>
      </c>
      <c r="Y146">
        <f ca="1"/>
        <v>7577795.3151182001</v>
      </c>
      <c r="Z146">
        <f ca="1"/>
        <v>316.600006103515</v>
      </c>
      <c r="AA146">
        <f ca="1"/>
        <v>4</v>
      </c>
      <c r="AB146">
        <f ca="1"/>
        <v>1.5</v>
      </c>
      <c r="AC146">
        <f ca="1"/>
        <v>9.64</v>
      </c>
      <c r="AD146">
        <f ca="1"/>
        <v>1.6</v>
      </c>
      <c r="AE146">
        <f ca="1"/>
        <v>9.64</v>
      </c>
    </row>
    <row r="147" spans="1:31" x14ac:dyDescent="0.25">
      <c r="A147">
        <f ca="1"/>
        <v>146</v>
      </c>
      <c r="B147">
        <f ca="1"/>
        <v>1</v>
      </c>
      <c r="C147">
        <f ca="1"/>
        <v>36</v>
      </c>
      <c r="D147" s="17">
        <f ca="1"/>
        <v>695652.72351285687</v>
      </c>
      <c r="E147" s="17">
        <f ca="1"/>
        <v>7577755.9167723525</v>
      </c>
      <c r="F147">
        <f ca="1"/>
        <v>316.71463623046799</v>
      </c>
      <c r="G147">
        <f ca="1"/>
        <v>0</v>
      </c>
      <c r="H147">
        <f ca="1"/>
        <v>0</v>
      </c>
      <c r="I147" t="str">
        <f ca="1"/>
        <v>MIN NO MERGE</v>
      </c>
      <c r="J147">
        <f ca="1"/>
        <v>19</v>
      </c>
      <c r="K147" t="str">
        <f ca="1"/>
        <v>R-21</v>
      </c>
      <c r="L147" t="str">
        <f ca="1"/>
        <v>R-21</v>
      </c>
      <c r="M147">
        <f ca="1"/>
        <v>0</v>
      </c>
      <c r="N147">
        <f ca="1"/>
        <v>-0.94417125289547243</v>
      </c>
      <c r="O147">
        <f ca="1"/>
        <v>-0.94417125289547243</v>
      </c>
      <c r="P147">
        <f ca="1"/>
        <v>2.1974214006943207</v>
      </c>
      <c r="Q147">
        <f ca="1"/>
        <v>1.5707963267948966</v>
      </c>
      <c r="R147">
        <f ca="1"/>
        <v>695655.97098285099</v>
      </c>
      <c r="S147">
        <f ca="1"/>
        <v>7577759.6505022096</v>
      </c>
      <c r="T147">
        <f ca="1"/>
        <v>316.81463623046801</v>
      </c>
      <c r="U147">
        <f ca="1"/>
        <v>695655.97098285099</v>
      </c>
      <c r="V147">
        <f ca="1"/>
        <v>7577759.6505022096</v>
      </c>
      <c r="W147">
        <f ca="1"/>
        <v>316.81463623046801</v>
      </c>
      <c r="X147">
        <f ca="1"/>
        <v>695630.15128690202</v>
      </c>
      <c r="Y147">
        <f ca="1"/>
        <v>7577795.3151182001</v>
      </c>
      <c r="Z147">
        <f ca="1"/>
        <v>316.600006103515</v>
      </c>
      <c r="AA147">
        <f ca="1"/>
        <v>4</v>
      </c>
      <c r="AB147">
        <f ca="1"/>
        <v>1.5</v>
      </c>
      <c r="AC147">
        <f ca="1"/>
        <v>9.64</v>
      </c>
      <c r="AD147">
        <f ca="1"/>
        <v>1.6</v>
      </c>
      <c r="AE147">
        <f ca="1"/>
        <v>9.64</v>
      </c>
    </row>
    <row r="148" spans="1:31" x14ac:dyDescent="0.25">
      <c r="A148">
        <f ca="1"/>
        <v>147</v>
      </c>
      <c r="B148">
        <f ca="1"/>
        <v>2</v>
      </c>
      <c r="C148">
        <f ca="1"/>
        <v>36</v>
      </c>
      <c r="D148" s="17">
        <f ca="1"/>
        <v>695660.53202104464</v>
      </c>
      <c r="E148" s="17">
        <f ca="1"/>
        <v>7577761.569806926</v>
      </c>
      <c r="F148">
        <f ca="1"/>
        <v>316.71463623046799</v>
      </c>
      <c r="G148">
        <f ca="1"/>
        <v>0</v>
      </c>
      <c r="H148">
        <f ca="1"/>
        <v>0</v>
      </c>
      <c r="I148" t="str">
        <f ca="1"/>
        <v>MIN NO MERGE</v>
      </c>
      <c r="J148">
        <f ca="1"/>
        <v>19</v>
      </c>
      <c r="K148" t="str">
        <f ca="1"/>
        <v>R-21</v>
      </c>
      <c r="L148" t="str">
        <f ca="1"/>
        <v>R-21</v>
      </c>
      <c r="M148">
        <f ca="1"/>
        <v>0</v>
      </c>
      <c r="N148">
        <f ca="1"/>
        <v>-0.94417125289547243</v>
      </c>
      <c r="O148">
        <f ca="1"/>
        <v>-0.94417125289547243</v>
      </c>
      <c r="P148">
        <f ca="1"/>
        <v>2.1974214006943207</v>
      </c>
      <c r="Q148">
        <f ca="1"/>
        <v>1.5707963267948966</v>
      </c>
      <c r="R148">
        <f ca="1"/>
        <v>695655.97098285099</v>
      </c>
      <c r="S148">
        <f ca="1"/>
        <v>7577759.6505022096</v>
      </c>
      <c r="T148">
        <f ca="1"/>
        <v>316.81463623046801</v>
      </c>
      <c r="U148">
        <f ca="1"/>
        <v>695655.97098285099</v>
      </c>
      <c r="V148">
        <f ca="1"/>
        <v>7577759.6505022096</v>
      </c>
      <c r="W148">
        <f ca="1"/>
        <v>316.81463623046801</v>
      </c>
      <c r="X148">
        <f ca="1"/>
        <v>695630.15128690202</v>
      </c>
      <c r="Y148">
        <f ca="1"/>
        <v>7577795.3151182001</v>
      </c>
      <c r="Z148">
        <f ca="1"/>
        <v>316.600006103515</v>
      </c>
      <c r="AA148">
        <f ca="1"/>
        <v>4</v>
      </c>
      <c r="AB148">
        <f ca="1"/>
        <v>1.5</v>
      </c>
      <c r="AC148">
        <f ca="1"/>
        <v>9.64</v>
      </c>
      <c r="AD148">
        <f ca="1"/>
        <v>1.6</v>
      </c>
      <c r="AE148">
        <f ca="1"/>
        <v>9.64</v>
      </c>
    </row>
    <row r="149" spans="1:31" x14ac:dyDescent="0.25">
      <c r="A149">
        <f ca="1"/>
        <v>148</v>
      </c>
      <c r="B149">
        <f ca="1"/>
        <v>3</v>
      </c>
      <c r="C149">
        <f ca="1"/>
        <v>36</v>
      </c>
      <c r="D149" s="17">
        <f ca="1"/>
        <v>695659.593758045</v>
      </c>
      <c r="E149" s="17">
        <f ca="1"/>
        <v>7577762.8658248829</v>
      </c>
      <c r="F149">
        <f ca="1"/>
        <v>316.71463623046799</v>
      </c>
      <c r="G149">
        <f ca="1"/>
        <v>0</v>
      </c>
      <c r="H149">
        <f ca="1"/>
        <v>0</v>
      </c>
      <c r="I149" t="str">
        <f ca="1"/>
        <v>MIN NO MERGE</v>
      </c>
      <c r="J149">
        <f ca="1"/>
        <v>19</v>
      </c>
      <c r="K149" t="str">
        <f ca="1"/>
        <v>R-21</v>
      </c>
      <c r="L149" t="str">
        <f ca="1"/>
        <v>R-21</v>
      </c>
      <c r="M149">
        <f ca="1"/>
        <v>0</v>
      </c>
      <c r="N149">
        <f ca="1"/>
        <v>-0.94417125289547243</v>
      </c>
      <c r="O149">
        <f ca="1"/>
        <v>-0.94417125289547243</v>
      </c>
      <c r="P149">
        <f ca="1"/>
        <v>2.1974214006943207</v>
      </c>
      <c r="Q149">
        <f ca="1"/>
        <v>1.5707963267948966</v>
      </c>
      <c r="R149">
        <f ca="1"/>
        <v>695655.97098285099</v>
      </c>
      <c r="S149">
        <f ca="1"/>
        <v>7577759.6505022096</v>
      </c>
      <c r="T149">
        <f ca="1"/>
        <v>316.81463623046801</v>
      </c>
      <c r="U149">
        <f ca="1"/>
        <v>695655.97098285099</v>
      </c>
      <c r="V149">
        <f ca="1"/>
        <v>7577759.6505022096</v>
      </c>
      <c r="W149">
        <f ca="1"/>
        <v>316.81463623046801</v>
      </c>
      <c r="X149">
        <f ca="1"/>
        <v>695630.15128690202</v>
      </c>
      <c r="Y149">
        <f ca="1"/>
        <v>7577795.3151182001</v>
      </c>
      <c r="Z149">
        <f ca="1"/>
        <v>316.600006103515</v>
      </c>
      <c r="AA149">
        <f ca="1"/>
        <v>4</v>
      </c>
      <c r="AB149">
        <f ca="1"/>
        <v>1.5</v>
      </c>
      <c r="AC149">
        <f ca="1"/>
        <v>9.64</v>
      </c>
      <c r="AD149">
        <f ca="1"/>
        <v>1.6</v>
      </c>
      <c r="AE149">
        <f ca="1"/>
        <v>9.64</v>
      </c>
    </row>
    <row r="150" spans="1:31" x14ac:dyDescent="0.25">
      <c r="A150">
        <f ca="1"/>
        <v>149</v>
      </c>
      <c r="B150">
        <f ca="1"/>
        <v>0</v>
      </c>
      <c r="C150">
        <f ca="1"/>
        <v>37</v>
      </c>
      <c r="D150" s="17">
        <f ca="1"/>
        <v>695634.33701989579</v>
      </c>
      <c r="E150" s="17">
        <f ca="1"/>
        <v>7577797.7528301002</v>
      </c>
      <c r="F150">
        <f ca="1"/>
        <v>316.50000610351498</v>
      </c>
      <c r="G150">
        <f ca="1"/>
        <v>0</v>
      </c>
      <c r="H150">
        <f ca="1"/>
        <v>0</v>
      </c>
      <c r="I150" t="str">
        <f ca="1"/>
        <v>MIN NO MERGE</v>
      </c>
      <c r="J150">
        <f ca="1"/>
        <v>19</v>
      </c>
      <c r="K150" t="str">
        <f ca="1"/>
        <v>R-21</v>
      </c>
      <c r="L150" t="str">
        <f ca="1"/>
        <v>R-21</v>
      </c>
      <c r="M150">
        <f ca="1"/>
        <v>1</v>
      </c>
      <c r="N150">
        <f ca="1"/>
        <v>2.1974214006943207</v>
      </c>
      <c r="O150">
        <f ca="1"/>
        <v>2.1974214006943207</v>
      </c>
      <c r="P150">
        <f ca="1"/>
        <v>2.1974214006943207</v>
      </c>
      <c r="Q150">
        <f ca="1"/>
        <v>1.5707963267948966</v>
      </c>
      <c r="R150">
        <f ca="1"/>
        <v>695630.15128690202</v>
      </c>
      <c r="S150">
        <f ca="1"/>
        <v>7577795.3151182001</v>
      </c>
      <c r="T150">
        <f ca="1"/>
        <v>316.600006103515</v>
      </c>
      <c r="U150">
        <f ca="1"/>
        <v>695655.97098285099</v>
      </c>
      <c r="V150">
        <f ca="1"/>
        <v>7577759.6505022096</v>
      </c>
      <c r="W150">
        <f ca="1"/>
        <v>316.81463623046801</v>
      </c>
      <c r="X150">
        <f ca="1"/>
        <v>695630.15128690202</v>
      </c>
      <c r="Y150">
        <f ca="1"/>
        <v>7577795.3151182001</v>
      </c>
      <c r="Z150">
        <f ca="1"/>
        <v>316.600006103515</v>
      </c>
      <c r="AA150">
        <f ca="1"/>
        <v>4</v>
      </c>
      <c r="AB150">
        <f ca="1"/>
        <v>1.5</v>
      </c>
      <c r="AC150">
        <f ca="1"/>
        <v>9.64</v>
      </c>
      <c r="AD150">
        <f ca="1"/>
        <v>1.6</v>
      </c>
      <c r="AE150">
        <f ca="1"/>
        <v>9.64</v>
      </c>
    </row>
    <row r="151" spans="1:31" x14ac:dyDescent="0.25">
      <c r="A151">
        <f ca="1"/>
        <v>150</v>
      </c>
      <c r="B151">
        <f ca="1"/>
        <v>1</v>
      </c>
      <c r="C151">
        <f ca="1"/>
        <v>37</v>
      </c>
      <c r="D151" s="17">
        <f ca="1"/>
        <v>695633.39875689615</v>
      </c>
      <c r="E151" s="17">
        <f ca="1"/>
        <v>7577799.0488480572</v>
      </c>
      <c r="F151">
        <f ca="1"/>
        <v>316.50000610351498</v>
      </c>
      <c r="G151">
        <f ca="1"/>
        <v>0</v>
      </c>
      <c r="H151">
        <f ca="1"/>
        <v>0</v>
      </c>
      <c r="I151" t="str">
        <f ca="1"/>
        <v>MIN NO MERGE</v>
      </c>
      <c r="J151">
        <f ca="1"/>
        <v>19</v>
      </c>
      <c r="K151" t="str">
        <f ca="1"/>
        <v>R-21</v>
      </c>
      <c r="L151" t="str">
        <f ca="1"/>
        <v>R-21</v>
      </c>
      <c r="M151">
        <f ca="1"/>
        <v>1</v>
      </c>
      <c r="N151">
        <f ca="1"/>
        <v>2.1974214006943207</v>
      </c>
      <c r="O151">
        <f ca="1"/>
        <v>2.1974214006943207</v>
      </c>
      <c r="P151">
        <f ca="1"/>
        <v>2.1974214006943207</v>
      </c>
      <c r="Q151">
        <f ca="1"/>
        <v>1.5707963267948966</v>
      </c>
      <c r="R151">
        <f ca="1"/>
        <v>695630.15128690202</v>
      </c>
      <c r="S151">
        <f ca="1"/>
        <v>7577795.3151182001</v>
      </c>
      <c r="T151">
        <f ca="1"/>
        <v>316.600006103515</v>
      </c>
      <c r="U151">
        <f ca="1"/>
        <v>695655.97098285099</v>
      </c>
      <c r="V151">
        <f ca="1"/>
        <v>7577759.6505022096</v>
      </c>
      <c r="W151">
        <f ca="1"/>
        <v>316.81463623046801</v>
      </c>
      <c r="X151">
        <f ca="1"/>
        <v>695630.15128690202</v>
      </c>
      <c r="Y151">
        <f ca="1"/>
        <v>7577795.3151182001</v>
      </c>
      <c r="Z151">
        <f ca="1"/>
        <v>316.600006103515</v>
      </c>
      <c r="AA151">
        <f ca="1"/>
        <v>4</v>
      </c>
      <c r="AB151">
        <f ca="1"/>
        <v>1.5</v>
      </c>
      <c r="AC151">
        <f ca="1"/>
        <v>9.64</v>
      </c>
      <c r="AD151">
        <f ca="1"/>
        <v>1.6</v>
      </c>
      <c r="AE151">
        <f ca="1"/>
        <v>9.64</v>
      </c>
    </row>
    <row r="152" spans="1:31" x14ac:dyDescent="0.25">
      <c r="A152">
        <f ca="1"/>
        <v>151</v>
      </c>
      <c r="B152">
        <f ca="1"/>
        <v>2</v>
      </c>
      <c r="C152">
        <f ca="1"/>
        <v>37</v>
      </c>
      <c r="D152" s="17">
        <f ca="1"/>
        <v>695625.59024870838</v>
      </c>
      <c r="E152" s="17">
        <f ca="1"/>
        <v>7577793.3958134837</v>
      </c>
      <c r="F152">
        <f ca="1"/>
        <v>316.50000610351498</v>
      </c>
      <c r="G152">
        <f ca="1"/>
        <v>0</v>
      </c>
      <c r="H152">
        <f ca="1"/>
        <v>0</v>
      </c>
      <c r="I152" t="str">
        <f ca="1"/>
        <v>MIN NO MERGE</v>
      </c>
      <c r="J152">
        <f ca="1"/>
        <v>19</v>
      </c>
      <c r="K152" t="str">
        <f ca="1"/>
        <v>R-21</v>
      </c>
      <c r="L152" t="str">
        <f ca="1"/>
        <v>R-21</v>
      </c>
      <c r="M152">
        <f ca="1"/>
        <v>1</v>
      </c>
      <c r="N152">
        <f ca="1"/>
        <v>2.1974214006943207</v>
      </c>
      <c r="O152">
        <f ca="1"/>
        <v>2.1974214006943207</v>
      </c>
      <c r="P152">
        <f ca="1"/>
        <v>2.1974214006943207</v>
      </c>
      <c r="Q152">
        <f ca="1"/>
        <v>1.5707963267948966</v>
      </c>
      <c r="R152">
        <f ca="1"/>
        <v>695630.15128690202</v>
      </c>
      <c r="S152">
        <f ca="1"/>
        <v>7577795.3151182001</v>
      </c>
      <c r="T152">
        <f ca="1"/>
        <v>316.600006103515</v>
      </c>
      <c r="U152">
        <f ca="1"/>
        <v>695655.97098285099</v>
      </c>
      <c r="V152">
        <f ca="1"/>
        <v>7577759.6505022096</v>
      </c>
      <c r="W152">
        <f ca="1"/>
        <v>316.81463623046801</v>
      </c>
      <c r="X152">
        <f ca="1"/>
        <v>695630.15128690202</v>
      </c>
      <c r="Y152">
        <f ca="1"/>
        <v>7577795.3151182001</v>
      </c>
      <c r="Z152">
        <f ca="1"/>
        <v>316.600006103515</v>
      </c>
      <c r="AA152">
        <f ca="1"/>
        <v>4</v>
      </c>
      <c r="AB152">
        <f ca="1"/>
        <v>1.5</v>
      </c>
      <c r="AC152">
        <f ca="1"/>
        <v>9.64</v>
      </c>
      <c r="AD152">
        <f ca="1"/>
        <v>1.6</v>
      </c>
      <c r="AE152">
        <f ca="1"/>
        <v>9.64</v>
      </c>
    </row>
    <row r="153" spans="1:31" x14ac:dyDescent="0.25">
      <c r="A153">
        <f ca="1"/>
        <v>152</v>
      </c>
      <c r="B153">
        <f ca="1"/>
        <v>3</v>
      </c>
      <c r="C153">
        <f ca="1"/>
        <v>37</v>
      </c>
      <c r="D153" s="17">
        <f ca="1"/>
        <v>695626.52851170802</v>
      </c>
      <c r="E153" s="17">
        <f ca="1"/>
        <v>7577792.0997955268</v>
      </c>
      <c r="F153">
        <f ca="1"/>
        <v>316.50000610351498</v>
      </c>
      <c r="G153">
        <f ca="1"/>
        <v>0</v>
      </c>
      <c r="H153">
        <f ca="1"/>
        <v>0</v>
      </c>
      <c r="I153" t="str">
        <f ca="1"/>
        <v>MIN NO MERGE</v>
      </c>
      <c r="J153">
        <f ca="1"/>
        <v>19</v>
      </c>
      <c r="K153" t="str">
        <f ca="1"/>
        <v>R-21</v>
      </c>
      <c r="L153" t="str">
        <f ca="1"/>
        <v>R-21</v>
      </c>
      <c r="M153">
        <f ca="1"/>
        <v>1</v>
      </c>
      <c r="N153">
        <f ca="1"/>
        <v>2.1974214006943207</v>
      </c>
      <c r="O153">
        <f ca="1"/>
        <v>2.1974214006943207</v>
      </c>
      <c r="P153">
        <f ca="1"/>
        <v>2.1974214006943207</v>
      </c>
      <c r="Q153">
        <f ca="1"/>
        <v>1.5707963267948966</v>
      </c>
      <c r="R153">
        <f ca="1"/>
        <v>695630.15128690202</v>
      </c>
      <c r="S153">
        <f ca="1"/>
        <v>7577795.3151182001</v>
      </c>
      <c r="T153">
        <f ca="1"/>
        <v>316.600006103515</v>
      </c>
      <c r="U153">
        <f ca="1"/>
        <v>695655.97098285099</v>
      </c>
      <c r="V153">
        <f ca="1"/>
        <v>7577759.6505022096</v>
      </c>
      <c r="W153">
        <f ca="1"/>
        <v>316.81463623046801</v>
      </c>
      <c r="X153">
        <f ca="1"/>
        <v>695630.15128690202</v>
      </c>
      <c r="Y153">
        <f ca="1"/>
        <v>7577795.3151182001</v>
      </c>
      <c r="Z153">
        <f ca="1"/>
        <v>316.600006103515</v>
      </c>
      <c r="AA153">
        <f ca="1"/>
        <v>4</v>
      </c>
      <c r="AB153">
        <f ca="1"/>
        <v>1.5</v>
      </c>
      <c r="AC153">
        <f ca="1"/>
        <v>9.64</v>
      </c>
      <c r="AD153">
        <f ca="1"/>
        <v>1.6</v>
      </c>
      <c r="AE153">
        <f ca="1"/>
        <v>9.64</v>
      </c>
    </row>
    <row r="154" spans="1:31" x14ac:dyDescent="0.25">
      <c r="A154">
        <f ca="1"/>
        <v>153</v>
      </c>
      <c r="B154">
        <f ca="1"/>
        <v>0</v>
      </c>
      <c r="C154">
        <f ca="1"/>
        <v>38</v>
      </c>
      <c r="D154" s="17">
        <f ca="1"/>
        <v>696088.6882938433</v>
      </c>
      <c r="E154" s="17">
        <f ca="1"/>
        <v>7577900.2856949</v>
      </c>
      <c r="F154">
        <f ca="1"/>
        <v>322.76465454101498</v>
      </c>
      <c r="G154">
        <f ca="1"/>
        <v>0</v>
      </c>
      <c r="H154">
        <f ca="1"/>
        <v>0</v>
      </c>
      <c r="I154" t="str">
        <f ca="1"/>
        <v>MIN NO MERGE</v>
      </c>
      <c r="J154">
        <f ca="1"/>
        <v>20</v>
      </c>
      <c r="K154" t="str">
        <f ca="1"/>
        <v>R-22</v>
      </c>
      <c r="L154" t="str">
        <f ca="1"/>
        <v>R-22</v>
      </c>
      <c r="M154">
        <f ca="1"/>
        <v>0</v>
      </c>
      <c r="N154">
        <f ca="1"/>
        <v>-1.5324708273197096</v>
      </c>
      <c r="O154">
        <f ca="1"/>
        <v>-1.5324708273197096</v>
      </c>
      <c r="P154">
        <f ca="1"/>
        <v>1.6091218262700835</v>
      </c>
      <c r="Q154">
        <f ca="1"/>
        <v>1.5707963267948966</v>
      </c>
      <c r="R154">
        <f ca="1"/>
        <v>696091.00499661604</v>
      </c>
      <c r="S154">
        <f ca="1"/>
        <v>7577899.8941744501</v>
      </c>
      <c r="T154">
        <f ca="1"/>
        <v>322.864654541015</v>
      </c>
      <c r="U154">
        <f ca="1"/>
        <v>696091.00499661604</v>
      </c>
      <c r="V154">
        <f ca="1"/>
        <v>7577899.8941744501</v>
      </c>
      <c r="W154">
        <f ca="1"/>
        <v>322.864654541015</v>
      </c>
      <c r="X154">
        <f ca="1"/>
        <v>696089.80277840304</v>
      </c>
      <c r="Y154">
        <f ca="1"/>
        <v>7577931.2474392001</v>
      </c>
      <c r="Z154">
        <f ca="1"/>
        <v>322.106842041015</v>
      </c>
      <c r="AA154">
        <f ca="1"/>
        <v>2</v>
      </c>
      <c r="AB154">
        <f ca="1"/>
        <v>1.2</v>
      </c>
      <c r="AC154">
        <f ca="1"/>
        <v>4.5999999999999996</v>
      </c>
      <c r="AD154">
        <f ca="1"/>
        <v>1.6</v>
      </c>
      <c r="AE154">
        <f ca="1"/>
        <v>4.5999999999999996</v>
      </c>
    </row>
    <row r="155" spans="1:31" x14ac:dyDescent="0.25">
      <c r="A155">
        <f ca="1"/>
        <v>154</v>
      </c>
      <c r="B155">
        <f ca="1"/>
        <v>1</v>
      </c>
      <c r="C155">
        <f ca="1"/>
        <v>38</v>
      </c>
      <c r="D155" s="17">
        <f ca="1"/>
        <v>696088.74959963176</v>
      </c>
      <c r="E155" s="17">
        <f ca="1"/>
        <v>7577898.6868698308</v>
      </c>
      <c r="F155">
        <f ca="1"/>
        <v>322.76465454101498</v>
      </c>
      <c r="G155">
        <f ca="1"/>
        <v>0</v>
      </c>
      <c r="H155">
        <f ca="1"/>
        <v>0</v>
      </c>
      <c r="I155" t="str">
        <f ca="1"/>
        <v>MIN NO MERGE</v>
      </c>
      <c r="J155">
        <f ca="1"/>
        <v>20</v>
      </c>
      <c r="K155" t="str">
        <f ca="1"/>
        <v>R-22</v>
      </c>
      <c r="L155" t="str">
        <f ca="1"/>
        <v>R-22</v>
      </c>
      <c r="M155">
        <f ca="1"/>
        <v>0</v>
      </c>
      <c r="N155">
        <f ca="1"/>
        <v>-1.5324708273197096</v>
      </c>
      <c r="O155">
        <f ca="1"/>
        <v>-1.5324708273197096</v>
      </c>
      <c r="P155">
        <f ca="1"/>
        <v>1.6091218262700835</v>
      </c>
      <c r="Q155">
        <f ca="1"/>
        <v>1.5707963267948966</v>
      </c>
      <c r="R155">
        <f ca="1"/>
        <v>696091.00499661604</v>
      </c>
      <c r="S155">
        <f ca="1"/>
        <v>7577899.8941744501</v>
      </c>
      <c r="T155">
        <f ca="1"/>
        <v>322.864654541015</v>
      </c>
      <c r="U155">
        <f ca="1"/>
        <v>696091.00499661604</v>
      </c>
      <c r="V155">
        <f ca="1"/>
        <v>7577899.8941744501</v>
      </c>
      <c r="W155">
        <f ca="1"/>
        <v>322.864654541015</v>
      </c>
      <c r="X155">
        <f ca="1"/>
        <v>696089.80277840304</v>
      </c>
      <c r="Y155">
        <f ca="1"/>
        <v>7577931.2474392001</v>
      </c>
      <c r="Z155">
        <f ca="1"/>
        <v>322.106842041015</v>
      </c>
      <c r="AA155">
        <f ca="1"/>
        <v>2</v>
      </c>
      <c r="AB155">
        <f ca="1"/>
        <v>1.2</v>
      </c>
      <c r="AC155">
        <f ca="1"/>
        <v>4.5999999999999996</v>
      </c>
      <c r="AD155">
        <f ca="1"/>
        <v>1.6</v>
      </c>
      <c r="AE155">
        <f ca="1"/>
        <v>4.5999999999999996</v>
      </c>
    </row>
    <row r="156" spans="1:31" x14ac:dyDescent="0.25">
      <c r="A156">
        <f ca="1"/>
        <v>155</v>
      </c>
      <c r="B156">
        <f ca="1"/>
        <v>2</v>
      </c>
      <c r="C156">
        <f ca="1"/>
        <v>38</v>
      </c>
      <c r="D156" s="17">
        <f ca="1"/>
        <v>696093.34622170415</v>
      </c>
      <c r="E156" s="17">
        <f ca="1"/>
        <v>7577898.8631239729</v>
      </c>
      <c r="F156">
        <f ca="1"/>
        <v>322.76465454101498</v>
      </c>
      <c r="G156">
        <f ca="1"/>
        <v>0</v>
      </c>
      <c r="H156">
        <f ca="1"/>
        <v>0</v>
      </c>
      <c r="I156" t="str">
        <f ca="1"/>
        <v>MIN NO MERGE</v>
      </c>
      <c r="J156">
        <f ca="1"/>
        <v>20</v>
      </c>
      <c r="K156" t="str">
        <f ca="1"/>
        <v>R-22</v>
      </c>
      <c r="L156" t="str">
        <f ca="1"/>
        <v>R-22</v>
      </c>
      <c r="M156">
        <f ca="1"/>
        <v>0</v>
      </c>
      <c r="N156">
        <f ca="1"/>
        <v>-1.5324708273197096</v>
      </c>
      <c r="O156">
        <f ca="1"/>
        <v>-1.5324708273197096</v>
      </c>
      <c r="P156">
        <f ca="1"/>
        <v>1.6091218262700835</v>
      </c>
      <c r="Q156">
        <f ca="1"/>
        <v>1.5707963267948966</v>
      </c>
      <c r="R156">
        <f ca="1"/>
        <v>696091.00499661604</v>
      </c>
      <c r="S156">
        <f ca="1"/>
        <v>7577899.8941744501</v>
      </c>
      <c r="T156">
        <f ca="1"/>
        <v>322.864654541015</v>
      </c>
      <c r="U156">
        <f ca="1"/>
        <v>696091.00499661604</v>
      </c>
      <c r="V156">
        <f ca="1"/>
        <v>7577899.8941744501</v>
      </c>
      <c r="W156">
        <f ca="1"/>
        <v>322.864654541015</v>
      </c>
      <c r="X156">
        <f ca="1"/>
        <v>696089.80277840304</v>
      </c>
      <c r="Y156">
        <f ca="1"/>
        <v>7577931.2474392001</v>
      </c>
      <c r="Z156">
        <f ca="1"/>
        <v>322.106842041015</v>
      </c>
      <c r="AA156">
        <f ca="1"/>
        <v>2</v>
      </c>
      <c r="AB156">
        <f ca="1"/>
        <v>1.2</v>
      </c>
      <c r="AC156">
        <f ca="1"/>
        <v>4.5999999999999996</v>
      </c>
      <c r="AD156">
        <f ca="1"/>
        <v>1.6</v>
      </c>
      <c r="AE156">
        <f ca="1"/>
        <v>4.5999999999999996</v>
      </c>
    </row>
    <row r="157" spans="1:31" x14ac:dyDescent="0.25">
      <c r="A157">
        <f ca="1"/>
        <v>156</v>
      </c>
      <c r="B157">
        <f ca="1"/>
        <v>3</v>
      </c>
      <c r="C157">
        <f ca="1"/>
        <v>38</v>
      </c>
      <c r="D157" s="17">
        <f ca="1"/>
        <v>696093.28491591569</v>
      </c>
      <c r="E157" s="17">
        <f ca="1"/>
        <v>7577900.461949042</v>
      </c>
      <c r="F157">
        <f ca="1"/>
        <v>322.76465454101498</v>
      </c>
      <c r="G157">
        <f ca="1"/>
        <v>0</v>
      </c>
      <c r="H157">
        <f ca="1"/>
        <v>0</v>
      </c>
      <c r="I157" t="str">
        <f ca="1"/>
        <v>MIN NO MERGE</v>
      </c>
      <c r="J157">
        <f ca="1"/>
        <v>20</v>
      </c>
      <c r="K157" t="str">
        <f ca="1"/>
        <v>R-22</v>
      </c>
      <c r="L157" t="str">
        <f ca="1"/>
        <v>R-22</v>
      </c>
      <c r="M157">
        <f ca="1"/>
        <v>0</v>
      </c>
      <c r="N157">
        <f ca="1"/>
        <v>-1.5324708273197096</v>
      </c>
      <c r="O157">
        <f ca="1"/>
        <v>-1.5324708273197096</v>
      </c>
      <c r="P157">
        <f ca="1"/>
        <v>1.6091218262700835</v>
      </c>
      <c r="Q157">
        <f ca="1"/>
        <v>1.5707963267948966</v>
      </c>
      <c r="R157">
        <f ca="1"/>
        <v>696091.00499661604</v>
      </c>
      <c r="S157">
        <f ca="1"/>
        <v>7577899.8941744501</v>
      </c>
      <c r="T157">
        <f ca="1"/>
        <v>322.864654541015</v>
      </c>
      <c r="U157">
        <f ca="1"/>
        <v>696091.00499661604</v>
      </c>
      <c r="V157">
        <f ca="1"/>
        <v>7577899.8941744501</v>
      </c>
      <c r="W157">
        <f ca="1"/>
        <v>322.864654541015</v>
      </c>
      <c r="X157">
        <f ca="1"/>
        <v>696089.80277840304</v>
      </c>
      <c r="Y157">
        <f ca="1"/>
        <v>7577931.2474392001</v>
      </c>
      <c r="Z157">
        <f ca="1"/>
        <v>322.106842041015</v>
      </c>
      <c r="AA157">
        <f ca="1"/>
        <v>2</v>
      </c>
      <c r="AB157">
        <f ca="1"/>
        <v>1.2</v>
      </c>
      <c r="AC157">
        <f ca="1"/>
        <v>4.5999999999999996</v>
      </c>
      <c r="AD157">
        <f ca="1"/>
        <v>1.6</v>
      </c>
      <c r="AE157">
        <f ca="1"/>
        <v>4.5999999999999996</v>
      </c>
    </row>
    <row r="158" spans="1:31" x14ac:dyDescent="0.25">
      <c r="A158">
        <f ca="1"/>
        <v>157</v>
      </c>
      <c r="B158">
        <f ca="1"/>
        <v>0</v>
      </c>
      <c r="C158">
        <f ca="1"/>
        <v>39</v>
      </c>
      <c r="D158" s="17">
        <f ca="1"/>
        <v>696092.11948117579</v>
      </c>
      <c r="E158" s="17">
        <f ca="1"/>
        <v>7577930.8559187502</v>
      </c>
      <c r="F158">
        <f ca="1"/>
        <v>322.00684204101498</v>
      </c>
      <c r="G158">
        <f ca="1"/>
        <v>0</v>
      </c>
      <c r="H158">
        <f ca="1"/>
        <v>0</v>
      </c>
      <c r="I158" t="str">
        <f ca="1"/>
        <v>MIN NO MERGE</v>
      </c>
      <c r="J158">
        <f ca="1"/>
        <v>20</v>
      </c>
      <c r="K158" t="str">
        <f ca="1"/>
        <v>R-22</v>
      </c>
      <c r="L158" t="str">
        <f ca="1"/>
        <v>R-22</v>
      </c>
      <c r="M158">
        <f ca="1"/>
        <v>1</v>
      </c>
      <c r="N158">
        <f ca="1"/>
        <v>1.6091218262700835</v>
      </c>
      <c r="O158">
        <f ca="1"/>
        <v>1.6091218262700835</v>
      </c>
      <c r="P158">
        <f ca="1"/>
        <v>1.6091218262700835</v>
      </c>
      <c r="Q158">
        <f ca="1"/>
        <v>1.5707963267948966</v>
      </c>
      <c r="R158">
        <f ca="1"/>
        <v>696089.80277840304</v>
      </c>
      <c r="S158">
        <f ca="1"/>
        <v>7577931.2474392001</v>
      </c>
      <c r="T158">
        <f ca="1"/>
        <v>322.106842041015</v>
      </c>
      <c r="U158">
        <f ca="1"/>
        <v>696091.00499661604</v>
      </c>
      <c r="V158">
        <f ca="1"/>
        <v>7577899.8941744501</v>
      </c>
      <c r="W158">
        <f ca="1"/>
        <v>322.864654541015</v>
      </c>
      <c r="X158">
        <f ca="1"/>
        <v>696089.80277840304</v>
      </c>
      <c r="Y158">
        <f ca="1"/>
        <v>7577931.2474392001</v>
      </c>
      <c r="Z158">
        <f ca="1"/>
        <v>322.106842041015</v>
      </c>
      <c r="AA158">
        <f ca="1"/>
        <v>2</v>
      </c>
      <c r="AB158">
        <f ca="1"/>
        <v>1.2</v>
      </c>
      <c r="AC158">
        <f ca="1"/>
        <v>4.5999999999999996</v>
      </c>
      <c r="AD158">
        <f ca="1"/>
        <v>1.6</v>
      </c>
      <c r="AE158">
        <f ca="1"/>
        <v>4.5999999999999996</v>
      </c>
    </row>
    <row r="159" spans="1:31" x14ac:dyDescent="0.25">
      <c r="A159">
        <f ca="1"/>
        <v>158</v>
      </c>
      <c r="B159">
        <f ca="1"/>
        <v>1</v>
      </c>
      <c r="C159">
        <f ca="1"/>
        <v>39</v>
      </c>
      <c r="D159" s="17">
        <f ca="1"/>
        <v>696092.05817538733</v>
      </c>
      <c r="E159" s="17">
        <f ca="1"/>
        <v>7577932.4547438193</v>
      </c>
      <c r="F159">
        <f ca="1"/>
        <v>322.00684204101498</v>
      </c>
      <c r="G159">
        <f ca="1"/>
        <v>0</v>
      </c>
      <c r="H159">
        <f ca="1"/>
        <v>0</v>
      </c>
      <c r="I159" t="str">
        <f ca="1"/>
        <v>MIN NO MERGE</v>
      </c>
      <c r="J159">
        <f ca="1"/>
        <v>20</v>
      </c>
      <c r="K159" t="str">
        <f ca="1"/>
        <v>R-22</v>
      </c>
      <c r="L159" t="str">
        <f ca="1"/>
        <v>R-22</v>
      </c>
      <c r="M159">
        <f ca="1"/>
        <v>1</v>
      </c>
      <c r="N159">
        <f ca="1"/>
        <v>1.6091218262700835</v>
      </c>
      <c r="O159">
        <f ca="1"/>
        <v>1.6091218262700835</v>
      </c>
      <c r="P159">
        <f ca="1"/>
        <v>1.6091218262700835</v>
      </c>
      <c r="Q159">
        <f ca="1"/>
        <v>1.5707963267948966</v>
      </c>
      <c r="R159">
        <f ca="1"/>
        <v>696089.80277840304</v>
      </c>
      <c r="S159">
        <f ca="1"/>
        <v>7577931.2474392001</v>
      </c>
      <c r="T159">
        <f ca="1"/>
        <v>322.106842041015</v>
      </c>
      <c r="U159">
        <f ca="1"/>
        <v>696091.00499661604</v>
      </c>
      <c r="V159">
        <f ca="1"/>
        <v>7577899.8941744501</v>
      </c>
      <c r="W159">
        <f ca="1"/>
        <v>322.864654541015</v>
      </c>
      <c r="X159">
        <f ca="1"/>
        <v>696089.80277840304</v>
      </c>
      <c r="Y159">
        <f ca="1"/>
        <v>7577931.2474392001</v>
      </c>
      <c r="Z159">
        <f ca="1"/>
        <v>322.106842041015</v>
      </c>
      <c r="AA159">
        <f ca="1"/>
        <v>2</v>
      </c>
      <c r="AB159">
        <f ca="1"/>
        <v>1.2</v>
      </c>
      <c r="AC159">
        <f ca="1"/>
        <v>4.5999999999999996</v>
      </c>
      <c r="AD159">
        <f ca="1"/>
        <v>1.6</v>
      </c>
      <c r="AE159">
        <f ca="1"/>
        <v>4.5999999999999996</v>
      </c>
    </row>
    <row r="160" spans="1:31" x14ac:dyDescent="0.25">
      <c r="A160">
        <f ca="1"/>
        <v>159</v>
      </c>
      <c r="B160">
        <f ca="1"/>
        <v>2</v>
      </c>
      <c r="C160">
        <f ca="1"/>
        <v>39</v>
      </c>
      <c r="D160" s="17">
        <f ca="1"/>
        <v>696087.46155331493</v>
      </c>
      <c r="E160" s="17">
        <f ca="1"/>
        <v>7577932.2784896772</v>
      </c>
      <c r="F160">
        <f ca="1"/>
        <v>322.00684204101498</v>
      </c>
      <c r="G160">
        <f ca="1"/>
        <v>0</v>
      </c>
      <c r="H160">
        <f ca="1"/>
        <v>0</v>
      </c>
      <c r="I160" t="str">
        <f ca="1"/>
        <v>MIN NO MERGE</v>
      </c>
      <c r="J160">
        <f ca="1"/>
        <v>20</v>
      </c>
      <c r="K160" t="str">
        <f ca="1"/>
        <v>R-22</v>
      </c>
      <c r="L160" t="str">
        <f ca="1"/>
        <v>R-22</v>
      </c>
      <c r="M160">
        <f ca="1"/>
        <v>1</v>
      </c>
      <c r="N160">
        <f ca="1"/>
        <v>1.6091218262700835</v>
      </c>
      <c r="O160">
        <f ca="1"/>
        <v>1.6091218262700835</v>
      </c>
      <c r="P160">
        <f ca="1"/>
        <v>1.6091218262700835</v>
      </c>
      <c r="Q160">
        <f ca="1"/>
        <v>1.5707963267948966</v>
      </c>
      <c r="R160">
        <f ca="1"/>
        <v>696089.80277840304</v>
      </c>
      <c r="S160">
        <f ca="1"/>
        <v>7577931.2474392001</v>
      </c>
      <c r="T160">
        <f ca="1"/>
        <v>322.106842041015</v>
      </c>
      <c r="U160">
        <f ca="1"/>
        <v>696091.00499661604</v>
      </c>
      <c r="V160">
        <f ca="1"/>
        <v>7577899.8941744501</v>
      </c>
      <c r="W160">
        <f ca="1"/>
        <v>322.864654541015</v>
      </c>
      <c r="X160">
        <f ca="1"/>
        <v>696089.80277840304</v>
      </c>
      <c r="Y160">
        <f ca="1"/>
        <v>7577931.2474392001</v>
      </c>
      <c r="Z160">
        <f ca="1"/>
        <v>322.106842041015</v>
      </c>
      <c r="AA160">
        <f ca="1"/>
        <v>2</v>
      </c>
      <c r="AB160">
        <f ca="1"/>
        <v>1.2</v>
      </c>
      <c r="AC160">
        <f ca="1"/>
        <v>4.5999999999999996</v>
      </c>
      <c r="AD160">
        <f ca="1"/>
        <v>1.6</v>
      </c>
      <c r="AE160">
        <f ca="1"/>
        <v>4.5999999999999996</v>
      </c>
    </row>
    <row r="161" spans="1:31" x14ac:dyDescent="0.25">
      <c r="A161">
        <f ca="1"/>
        <v>160</v>
      </c>
      <c r="B161">
        <f ca="1"/>
        <v>3</v>
      </c>
      <c r="C161">
        <f ca="1"/>
        <v>39</v>
      </c>
      <c r="D161" s="17">
        <f ca="1"/>
        <v>696087.5228591034</v>
      </c>
      <c r="E161" s="17">
        <f ca="1"/>
        <v>7577930.6796646081</v>
      </c>
      <c r="F161">
        <f ca="1"/>
        <v>322.00684204101498</v>
      </c>
      <c r="G161">
        <f ca="1"/>
        <v>0</v>
      </c>
      <c r="H161">
        <f ca="1"/>
        <v>0</v>
      </c>
      <c r="I161" t="str">
        <f ca="1"/>
        <v>MIN NO MERGE</v>
      </c>
      <c r="J161">
        <f ca="1"/>
        <v>20</v>
      </c>
      <c r="K161" t="str">
        <f ca="1"/>
        <v>R-22</v>
      </c>
      <c r="L161" t="str">
        <f ca="1"/>
        <v>R-22</v>
      </c>
      <c r="M161">
        <f ca="1"/>
        <v>1</v>
      </c>
      <c r="N161">
        <f ca="1"/>
        <v>1.6091218262700835</v>
      </c>
      <c r="O161">
        <f ca="1"/>
        <v>1.6091218262700835</v>
      </c>
      <c r="P161">
        <f ca="1"/>
        <v>1.6091218262700835</v>
      </c>
      <c r="Q161">
        <f ca="1"/>
        <v>1.5707963267948966</v>
      </c>
      <c r="R161">
        <f ca="1"/>
        <v>696089.80277840304</v>
      </c>
      <c r="S161">
        <f ca="1"/>
        <v>7577931.2474392001</v>
      </c>
      <c r="T161">
        <f ca="1"/>
        <v>322.106842041015</v>
      </c>
      <c r="U161">
        <f ca="1"/>
        <v>696091.00499661604</v>
      </c>
      <c r="V161">
        <f ca="1"/>
        <v>7577899.8941744501</v>
      </c>
      <c r="W161">
        <f ca="1"/>
        <v>322.864654541015</v>
      </c>
      <c r="X161">
        <f ca="1"/>
        <v>696089.80277840304</v>
      </c>
      <c r="Y161">
        <f ca="1"/>
        <v>7577931.2474392001</v>
      </c>
      <c r="Z161">
        <f ca="1"/>
        <v>322.106842041015</v>
      </c>
      <c r="AA161">
        <f ca="1"/>
        <v>2</v>
      </c>
      <c r="AB161">
        <f ca="1"/>
        <v>1.2</v>
      </c>
      <c r="AC161">
        <f ca="1"/>
        <v>4.5999999999999996</v>
      </c>
      <c r="AD161">
        <f ca="1"/>
        <v>1.6</v>
      </c>
      <c r="AE161">
        <f ca="1"/>
        <v>4.5999999999999996</v>
      </c>
    </row>
    <row r="162" spans="1:31" x14ac:dyDescent="0.25">
      <c r="A162">
        <f ca="1"/>
        <v>161</v>
      </c>
      <c r="B162">
        <f ca="1"/>
        <v>0</v>
      </c>
      <c r="C162">
        <f ca="1"/>
        <v>40</v>
      </c>
      <c r="D162" s="17">
        <f ca="1"/>
        <v>687969.26697725407</v>
      </c>
      <c r="E162" s="17">
        <f ca="1"/>
        <v>7566445.8971988056</v>
      </c>
      <c r="F162">
        <f ca="1"/>
        <v>375.73660888671799</v>
      </c>
      <c r="G162">
        <f ca="1"/>
        <v>0</v>
      </c>
      <c r="H162">
        <f ca="1"/>
        <v>0</v>
      </c>
      <c r="I162" t="str">
        <f ca="1"/>
        <v>MIN NO MERGE</v>
      </c>
      <c r="J162">
        <f ca="1"/>
        <v>21</v>
      </c>
      <c r="K162" t="str">
        <f ca="1"/>
        <v>R-3</v>
      </c>
      <c r="L162" t="str">
        <f ca="1"/>
        <v>R-3</v>
      </c>
      <c r="M162">
        <f ca="1"/>
        <v>0</v>
      </c>
      <c r="N162">
        <f ca="1"/>
        <v>-1.2983764824053736</v>
      </c>
      <c r="O162">
        <f ca="1"/>
        <v>-1.2983764824053736</v>
      </c>
      <c r="P162">
        <f ca="1"/>
        <v>1.8432161711844204</v>
      </c>
      <c r="Q162">
        <f ca="1"/>
        <v>1.5707963267948966</v>
      </c>
      <c r="R162">
        <f ca="1"/>
        <v>687971.95803359896</v>
      </c>
      <c r="S162">
        <f ca="1"/>
        <v>7566446.15060707</v>
      </c>
      <c r="T162">
        <f ca="1"/>
        <v>375.83660888671801</v>
      </c>
      <c r="U162">
        <f ca="1"/>
        <v>687971.95803359896</v>
      </c>
      <c r="V162">
        <f ca="1"/>
        <v>7566446.15060707</v>
      </c>
      <c r="W162">
        <f ca="1"/>
        <v>375.83660888671801</v>
      </c>
      <c r="X162">
        <f ca="1"/>
        <v>687955.61175127095</v>
      </c>
      <c r="Y162">
        <f ca="1"/>
        <v>7566504.6628676699</v>
      </c>
      <c r="Z162">
        <f ca="1"/>
        <v>379.22119140625</v>
      </c>
      <c r="AA162">
        <f ca="1"/>
        <v>2</v>
      </c>
      <c r="AB162">
        <f ca="1"/>
        <v>1.5</v>
      </c>
      <c r="AC162">
        <f ca="1"/>
        <v>5.32</v>
      </c>
      <c r="AD162">
        <f ca="1"/>
        <v>1.6</v>
      </c>
      <c r="AE162">
        <f ca="1"/>
        <v>5.32</v>
      </c>
    </row>
    <row r="163" spans="1:31" x14ac:dyDescent="0.25">
      <c r="A163">
        <f ca="1"/>
        <v>162</v>
      </c>
      <c r="B163">
        <f ca="1"/>
        <v>1</v>
      </c>
      <c r="C163">
        <f ca="1"/>
        <v>40</v>
      </c>
      <c r="D163" s="17">
        <f ca="1"/>
        <v>687969.69747778063</v>
      </c>
      <c r="E163" s="17">
        <f ca="1"/>
        <v>7566444.3562026033</v>
      </c>
      <c r="F163">
        <f ca="1"/>
        <v>375.73660888671799</v>
      </c>
      <c r="G163">
        <f ca="1"/>
        <v>0</v>
      </c>
      <c r="H163">
        <f ca="1"/>
        <v>0</v>
      </c>
      <c r="I163" t="str">
        <f ca="1"/>
        <v>MIN NO MERGE</v>
      </c>
      <c r="J163">
        <f ca="1"/>
        <v>21</v>
      </c>
      <c r="K163" t="str">
        <f ca="1"/>
        <v>R-3</v>
      </c>
      <c r="L163" t="str">
        <f ca="1"/>
        <v>R-3</v>
      </c>
      <c r="M163">
        <f ca="1"/>
        <v>0</v>
      </c>
      <c r="N163">
        <f ca="1"/>
        <v>-1.2983764824053736</v>
      </c>
      <c r="O163">
        <f ca="1"/>
        <v>-1.2983764824053736</v>
      </c>
      <c r="P163">
        <f ca="1"/>
        <v>1.8432161711844204</v>
      </c>
      <c r="Q163">
        <f ca="1"/>
        <v>1.5707963267948966</v>
      </c>
      <c r="R163">
        <f ca="1"/>
        <v>687971.95803359896</v>
      </c>
      <c r="S163">
        <f ca="1"/>
        <v>7566446.15060707</v>
      </c>
      <c r="T163">
        <f ca="1"/>
        <v>375.83660888671801</v>
      </c>
      <c r="U163">
        <f ca="1"/>
        <v>687971.95803359896</v>
      </c>
      <c r="V163">
        <f ca="1"/>
        <v>7566446.15060707</v>
      </c>
      <c r="W163">
        <f ca="1"/>
        <v>375.83660888671801</v>
      </c>
      <c r="X163">
        <f ca="1"/>
        <v>687955.61175127095</v>
      </c>
      <c r="Y163">
        <f ca="1"/>
        <v>7566504.6628676699</v>
      </c>
      <c r="Z163">
        <f ca="1"/>
        <v>379.22119140625</v>
      </c>
      <c r="AA163">
        <f ca="1"/>
        <v>2</v>
      </c>
      <c r="AB163">
        <f ca="1"/>
        <v>1.5</v>
      </c>
      <c r="AC163">
        <f ca="1"/>
        <v>5.32</v>
      </c>
      <c r="AD163">
        <f ca="1"/>
        <v>1.6</v>
      </c>
      <c r="AE163">
        <f ca="1"/>
        <v>5.32</v>
      </c>
    </row>
    <row r="164" spans="1:31" x14ac:dyDescent="0.25">
      <c r="A164">
        <f ca="1"/>
        <v>163</v>
      </c>
      <c r="B164">
        <f ca="1"/>
        <v>2</v>
      </c>
      <c r="C164">
        <f ca="1"/>
        <v>40</v>
      </c>
      <c r="D164" s="17">
        <f ca="1"/>
        <v>687974.82129015459</v>
      </c>
      <c r="E164" s="17">
        <f ca="1"/>
        <v>7566445.7876168536</v>
      </c>
      <c r="F164">
        <f ca="1"/>
        <v>375.73660888671799</v>
      </c>
      <c r="G164">
        <f ca="1"/>
        <v>0</v>
      </c>
      <c r="H164">
        <f ca="1"/>
        <v>0</v>
      </c>
      <c r="I164" t="str">
        <f ca="1"/>
        <v>MIN NO MERGE</v>
      </c>
      <c r="J164">
        <f ca="1"/>
        <v>21</v>
      </c>
      <c r="K164" t="str">
        <f ca="1"/>
        <v>R-3</v>
      </c>
      <c r="L164" t="str">
        <f ca="1"/>
        <v>R-3</v>
      </c>
      <c r="M164">
        <f ca="1"/>
        <v>0</v>
      </c>
      <c r="N164">
        <f ca="1"/>
        <v>-1.2983764824053736</v>
      </c>
      <c r="O164">
        <f ca="1"/>
        <v>-1.2983764824053736</v>
      </c>
      <c r="P164">
        <f ca="1"/>
        <v>1.8432161711844204</v>
      </c>
      <c r="Q164">
        <f ca="1"/>
        <v>1.5707963267948966</v>
      </c>
      <c r="R164">
        <f ca="1"/>
        <v>687971.95803359896</v>
      </c>
      <c r="S164">
        <f ca="1"/>
        <v>7566446.15060707</v>
      </c>
      <c r="T164">
        <f ca="1"/>
        <v>375.83660888671801</v>
      </c>
      <c r="U164">
        <f ca="1"/>
        <v>687971.95803359896</v>
      </c>
      <c r="V164">
        <f ca="1"/>
        <v>7566446.15060707</v>
      </c>
      <c r="W164">
        <f ca="1"/>
        <v>375.83660888671801</v>
      </c>
      <c r="X164">
        <f ca="1"/>
        <v>687955.61175127095</v>
      </c>
      <c r="Y164">
        <f ca="1"/>
        <v>7566504.6628676699</v>
      </c>
      <c r="Z164">
        <f ca="1"/>
        <v>379.22119140625</v>
      </c>
      <c r="AA164">
        <f ca="1"/>
        <v>2</v>
      </c>
      <c r="AB164">
        <f ca="1"/>
        <v>1.5</v>
      </c>
      <c r="AC164">
        <f ca="1"/>
        <v>5.32</v>
      </c>
      <c r="AD164">
        <f ca="1"/>
        <v>1.6</v>
      </c>
      <c r="AE164">
        <f ca="1"/>
        <v>5.32</v>
      </c>
    </row>
    <row r="165" spans="1:31" x14ac:dyDescent="0.25">
      <c r="A165">
        <f ca="1"/>
        <v>164</v>
      </c>
      <c r="B165">
        <f ca="1"/>
        <v>3</v>
      </c>
      <c r="C165">
        <f ca="1"/>
        <v>40</v>
      </c>
      <c r="D165" s="17">
        <f ca="1"/>
        <v>687974.39078962803</v>
      </c>
      <c r="E165" s="17">
        <f ca="1"/>
        <v>7566447.3286130559</v>
      </c>
      <c r="F165">
        <f ca="1"/>
        <v>375.73660888671799</v>
      </c>
      <c r="G165">
        <f ca="1"/>
        <v>0</v>
      </c>
      <c r="H165">
        <f ca="1"/>
        <v>0</v>
      </c>
      <c r="I165" t="str">
        <f ca="1"/>
        <v>MIN NO MERGE</v>
      </c>
      <c r="J165">
        <f ca="1"/>
        <v>21</v>
      </c>
      <c r="K165" t="str">
        <f ca="1"/>
        <v>R-3</v>
      </c>
      <c r="L165" t="str">
        <f ca="1"/>
        <v>R-3</v>
      </c>
      <c r="M165">
        <f ca="1"/>
        <v>0</v>
      </c>
      <c r="N165">
        <f ca="1"/>
        <v>-1.2983764824053736</v>
      </c>
      <c r="O165">
        <f ca="1"/>
        <v>-1.2983764824053736</v>
      </c>
      <c r="P165">
        <f ca="1"/>
        <v>1.8432161711844204</v>
      </c>
      <c r="Q165">
        <f ca="1"/>
        <v>1.5707963267948966</v>
      </c>
      <c r="R165">
        <f ca="1"/>
        <v>687971.95803359896</v>
      </c>
      <c r="S165">
        <f ca="1"/>
        <v>7566446.15060707</v>
      </c>
      <c r="T165">
        <f ca="1"/>
        <v>375.83660888671801</v>
      </c>
      <c r="U165">
        <f ca="1"/>
        <v>687971.95803359896</v>
      </c>
      <c r="V165">
        <f ca="1"/>
        <v>7566446.15060707</v>
      </c>
      <c r="W165">
        <f ca="1"/>
        <v>375.83660888671801</v>
      </c>
      <c r="X165">
        <f ca="1"/>
        <v>687955.61175127095</v>
      </c>
      <c r="Y165">
        <f ca="1"/>
        <v>7566504.6628676699</v>
      </c>
      <c r="Z165">
        <f ca="1"/>
        <v>379.22119140625</v>
      </c>
      <c r="AA165">
        <f ca="1"/>
        <v>2</v>
      </c>
      <c r="AB165">
        <f ca="1"/>
        <v>1.5</v>
      </c>
      <c r="AC165">
        <f ca="1"/>
        <v>5.32</v>
      </c>
      <c r="AD165">
        <f ca="1"/>
        <v>1.6</v>
      </c>
      <c r="AE165">
        <f ca="1"/>
        <v>5.32</v>
      </c>
    </row>
    <row r="166" spans="1:31" x14ac:dyDescent="0.25">
      <c r="A166">
        <f ca="1"/>
        <v>165</v>
      </c>
      <c r="B166">
        <f ca="1"/>
        <v>0</v>
      </c>
      <c r="C166">
        <f ca="1"/>
        <v>41</v>
      </c>
      <c r="D166" s="17">
        <f ca="1"/>
        <v>687958.30280761584</v>
      </c>
      <c r="E166" s="17">
        <f ca="1"/>
        <v>7566504.9162759343</v>
      </c>
      <c r="F166">
        <f ca="1"/>
        <v>379.12119140624998</v>
      </c>
      <c r="G166">
        <f ca="1"/>
        <v>0</v>
      </c>
      <c r="H166">
        <f ca="1"/>
        <v>0</v>
      </c>
      <c r="I166" t="str">
        <f ca="1"/>
        <v>MIN NO MERGE</v>
      </c>
      <c r="J166">
        <f ca="1"/>
        <v>21</v>
      </c>
      <c r="K166" t="str">
        <f ca="1"/>
        <v>R-3</v>
      </c>
      <c r="L166" t="str">
        <f ca="1"/>
        <v>R-3</v>
      </c>
      <c r="M166">
        <f ca="1"/>
        <v>1</v>
      </c>
      <c r="N166">
        <f ca="1"/>
        <v>1.8432161711844204</v>
      </c>
      <c r="O166">
        <f ca="1"/>
        <v>1.8432161711844204</v>
      </c>
      <c r="P166">
        <f ca="1"/>
        <v>1.8432161711844204</v>
      </c>
      <c r="Q166">
        <f ca="1"/>
        <v>1.5707963267948966</v>
      </c>
      <c r="R166">
        <f ca="1"/>
        <v>687955.61175127095</v>
      </c>
      <c r="S166">
        <f ca="1"/>
        <v>7566504.6628676699</v>
      </c>
      <c r="T166">
        <f ca="1"/>
        <v>379.22119140625</v>
      </c>
      <c r="U166">
        <f ca="1"/>
        <v>687971.95803359896</v>
      </c>
      <c r="V166">
        <f ca="1"/>
        <v>7566446.15060707</v>
      </c>
      <c r="W166">
        <f ca="1"/>
        <v>375.83660888671801</v>
      </c>
      <c r="X166">
        <f ca="1"/>
        <v>687955.61175127095</v>
      </c>
      <c r="Y166">
        <f ca="1"/>
        <v>7566504.6628676699</v>
      </c>
      <c r="Z166">
        <f ca="1"/>
        <v>379.22119140625</v>
      </c>
      <c r="AA166">
        <f ca="1"/>
        <v>2</v>
      </c>
      <c r="AB166">
        <f ca="1"/>
        <v>1.5</v>
      </c>
      <c r="AC166">
        <f ca="1"/>
        <v>5.32</v>
      </c>
      <c r="AD166">
        <f ca="1"/>
        <v>1.6</v>
      </c>
      <c r="AE166">
        <f ca="1"/>
        <v>5.32</v>
      </c>
    </row>
    <row r="167" spans="1:31" x14ac:dyDescent="0.25">
      <c r="A167">
        <f ca="1"/>
        <v>166</v>
      </c>
      <c r="B167">
        <f ca="1"/>
        <v>1</v>
      </c>
      <c r="C167">
        <f ca="1"/>
        <v>41</v>
      </c>
      <c r="D167" s="17">
        <f ca="1"/>
        <v>687957.87230708927</v>
      </c>
      <c r="E167" s="17">
        <f ca="1"/>
        <v>7566506.4572721366</v>
      </c>
      <c r="F167">
        <f ca="1"/>
        <v>379.12119140624998</v>
      </c>
      <c r="G167">
        <f ca="1"/>
        <v>0</v>
      </c>
      <c r="H167">
        <f ca="1"/>
        <v>0</v>
      </c>
      <c r="I167" t="str">
        <f ca="1"/>
        <v>MIN NO MERGE</v>
      </c>
      <c r="J167">
        <f ca="1"/>
        <v>21</v>
      </c>
      <c r="K167" t="str">
        <f ca="1"/>
        <v>R-3</v>
      </c>
      <c r="L167" t="str">
        <f ca="1"/>
        <v>R-3</v>
      </c>
      <c r="M167">
        <f ca="1"/>
        <v>1</v>
      </c>
      <c r="N167">
        <f ca="1"/>
        <v>1.8432161711844204</v>
      </c>
      <c r="O167">
        <f ca="1"/>
        <v>1.8432161711844204</v>
      </c>
      <c r="P167">
        <f ca="1"/>
        <v>1.8432161711844204</v>
      </c>
      <c r="Q167">
        <f ca="1"/>
        <v>1.5707963267948966</v>
      </c>
      <c r="R167">
        <f ca="1"/>
        <v>687955.61175127095</v>
      </c>
      <c r="S167">
        <f ca="1"/>
        <v>7566504.6628676699</v>
      </c>
      <c r="T167">
        <f ca="1"/>
        <v>379.22119140625</v>
      </c>
      <c r="U167">
        <f ca="1"/>
        <v>687971.95803359896</v>
      </c>
      <c r="V167">
        <f ca="1"/>
        <v>7566446.15060707</v>
      </c>
      <c r="W167">
        <f ca="1"/>
        <v>375.83660888671801</v>
      </c>
      <c r="X167">
        <f ca="1"/>
        <v>687955.61175127095</v>
      </c>
      <c r="Y167">
        <f ca="1"/>
        <v>7566504.6628676699</v>
      </c>
      <c r="Z167">
        <f ca="1"/>
        <v>379.22119140625</v>
      </c>
      <c r="AA167">
        <f ca="1"/>
        <v>2</v>
      </c>
      <c r="AB167">
        <f ca="1"/>
        <v>1.5</v>
      </c>
      <c r="AC167">
        <f ca="1"/>
        <v>5.32</v>
      </c>
      <c r="AD167">
        <f ca="1"/>
        <v>1.6</v>
      </c>
      <c r="AE167">
        <f ca="1"/>
        <v>5.32</v>
      </c>
    </row>
    <row r="168" spans="1:31" x14ac:dyDescent="0.25">
      <c r="A168">
        <f ca="1"/>
        <v>167</v>
      </c>
      <c r="B168">
        <f ca="1"/>
        <v>2</v>
      </c>
      <c r="C168">
        <f ca="1"/>
        <v>41</v>
      </c>
      <c r="D168" s="17">
        <f ca="1"/>
        <v>687952.74849471531</v>
      </c>
      <c r="E168" s="17">
        <f ca="1"/>
        <v>7566505.0258578863</v>
      </c>
      <c r="F168">
        <f ca="1"/>
        <v>379.12119140624998</v>
      </c>
      <c r="G168">
        <f ca="1"/>
        <v>0</v>
      </c>
      <c r="H168">
        <f ca="1"/>
        <v>0</v>
      </c>
      <c r="I168" t="str">
        <f ca="1"/>
        <v>MIN NO MERGE</v>
      </c>
      <c r="J168">
        <f ca="1"/>
        <v>21</v>
      </c>
      <c r="K168" t="str">
        <f ca="1"/>
        <v>R-3</v>
      </c>
      <c r="L168" t="str">
        <f ca="1"/>
        <v>R-3</v>
      </c>
      <c r="M168">
        <f ca="1"/>
        <v>1</v>
      </c>
      <c r="N168">
        <f ca="1"/>
        <v>1.8432161711844204</v>
      </c>
      <c r="O168">
        <f ca="1"/>
        <v>1.8432161711844204</v>
      </c>
      <c r="P168">
        <f ca="1"/>
        <v>1.8432161711844204</v>
      </c>
      <c r="Q168">
        <f ca="1"/>
        <v>1.5707963267948966</v>
      </c>
      <c r="R168">
        <f ca="1"/>
        <v>687955.61175127095</v>
      </c>
      <c r="S168">
        <f ca="1"/>
        <v>7566504.6628676699</v>
      </c>
      <c r="T168">
        <f ca="1"/>
        <v>379.22119140625</v>
      </c>
      <c r="U168">
        <f ca="1"/>
        <v>687971.95803359896</v>
      </c>
      <c r="V168">
        <f ca="1"/>
        <v>7566446.15060707</v>
      </c>
      <c r="W168">
        <f ca="1"/>
        <v>375.83660888671801</v>
      </c>
      <c r="X168">
        <f ca="1"/>
        <v>687955.61175127095</v>
      </c>
      <c r="Y168">
        <f ca="1"/>
        <v>7566504.6628676699</v>
      </c>
      <c r="Z168">
        <f ca="1"/>
        <v>379.22119140625</v>
      </c>
      <c r="AA168">
        <f ca="1"/>
        <v>2</v>
      </c>
      <c r="AB168">
        <f ca="1"/>
        <v>1.5</v>
      </c>
      <c r="AC168">
        <f ca="1"/>
        <v>5.32</v>
      </c>
      <c r="AD168">
        <f ca="1"/>
        <v>1.6</v>
      </c>
      <c r="AE168">
        <f ca="1"/>
        <v>5.32</v>
      </c>
    </row>
    <row r="169" spans="1:31" x14ac:dyDescent="0.25">
      <c r="A169">
        <f ca="1"/>
        <v>168</v>
      </c>
      <c r="B169">
        <f ca="1"/>
        <v>3</v>
      </c>
      <c r="C169">
        <f ca="1"/>
        <v>41</v>
      </c>
      <c r="D169" s="17">
        <f ca="1"/>
        <v>687953.17899524188</v>
      </c>
      <c r="E169" s="17">
        <f ca="1"/>
        <v>7566503.484861684</v>
      </c>
      <c r="F169">
        <f ca="1"/>
        <v>379.12119140624998</v>
      </c>
      <c r="G169">
        <f ca="1"/>
        <v>0</v>
      </c>
      <c r="H169">
        <f ca="1"/>
        <v>0</v>
      </c>
      <c r="I169" t="str">
        <f ca="1"/>
        <v>MIN NO MERGE</v>
      </c>
      <c r="J169">
        <f ca="1"/>
        <v>21</v>
      </c>
      <c r="K169" t="str">
        <f ca="1"/>
        <v>R-3</v>
      </c>
      <c r="L169" t="str">
        <f ca="1"/>
        <v>R-3</v>
      </c>
      <c r="M169">
        <f ca="1"/>
        <v>1</v>
      </c>
      <c r="N169">
        <f ca="1"/>
        <v>1.8432161711844204</v>
      </c>
      <c r="O169">
        <f ca="1"/>
        <v>1.8432161711844204</v>
      </c>
      <c r="P169">
        <f ca="1"/>
        <v>1.8432161711844204</v>
      </c>
      <c r="Q169">
        <f ca="1"/>
        <v>1.5707963267948966</v>
      </c>
      <c r="R169">
        <f ca="1"/>
        <v>687955.61175127095</v>
      </c>
      <c r="S169">
        <f ca="1"/>
        <v>7566504.6628676699</v>
      </c>
      <c r="T169">
        <f ca="1"/>
        <v>379.22119140625</v>
      </c>
      <c r="U169">
        <f ca="1"/>
        <v>687971.95803359896</v>
      </c>
      <c r="V169">
        <f ca="1"/>
        <v>7566446.15060707</v>
      </c>
      <c r="W169">
        <f ca="1"/>
        <v>375.83660888671801</v>
      </c>
      <c r="X169">
        <f ca="1"/>
        <v>687955.61175127095</v>
      </c>
      <c r="Y169">
        <f ca="1"/>
        <v>7566504.6628676699</v>
      </c>
      <c r="Z169">
        <f ca="1"/>
        <v>379.22119140625</v>
      </c>
      <c r="AA169">
        <f ca="1"/>
        <v>2</v>
      </c>
      <c r="AB169">
        <f ca="1"/>
        <v>1.5</v>
      </c>
      <c r="AC169">
        <f ca="1"/>
        <v>5.32</v>
      </c>
      <c r="AD169">
        <f ca="1"/>
        <v>1.6</v>
      </c>
      <c r="AE169">
        <f ca="1"/>
        <v>5.32</v>
      </c>
    </row>
    <row r="170" spans="1:31" x14ac:dyDescent="0.25">
      <c r="A170">
        <f ca="1"/>
        <v>169</v>
      </c>
      <c r="B170">
        <f ca="1"/>
        <v>0</v>
      </c>
      <c r="C170">
        <f ca="1"/>
        <v>42</v>
      </c>
      <c r="D170" s="17">
        <f ca="1"/>
        <v>688862.13570561493</v>
      </c>
      <c r="E170" s="17">
        <f ca="1"/>
        <v>7566884.6824532319</v>
      </c>
      <c r="F170">
        <f ca="1"/>
        <v>364.73699999999997</v>
      </c>
      <c r="G170">
        <f ca="1"/>
        <v>0</v>
      </c>
      <c r="H170">
        <f ca="1"/>
        <v>0</v>
      </c>
      <c r="I170" t="str">
        <f ca="1"/>
        <v>MIN NO MERGE</v>
      </c>
      <c r="J170">
        <f ca="1"/>
        <v>22</v>
      </c>
      <c r="K170" t="str">
        <f ca="1"/>
        <v>R-4</v>
      </c>
      <c r="L170" t="str">
        <f ca="1"/>
        <v>R-4</v>
      </c>
      <c r="M170">
        <f ca="1"/>
        <v>0</v>
      </c>
      <c r="N170">
        <f ca="1"/>
        <v>-1.8363568360466447</v>
      </c>
      <c r="O170">
        <f ca="1"/>
        <v>-1.8363568360466447</v>
      </c>
      <c r="P170">
        <f ca="1"/>
        <v>1.3052358175431484</v>
      </c>
      <c r="Q170">
        <f ca="1"/>
        <v>1.5707963267948966</v>
      </c>
      <c r="R170">
        <f ca="1"/>
        <v>688863.53434349701</v>
      </c>
      <c r="S170">
        <f ca="1"/>
        <v>7566883.8046081001</v>
      </c>
      <c r="T170">
        <f ca="1"/>
        <v>364.83699999999999</v>
      </c>
      <c r="U170">
        <f ca="1"/>
        <v>688863.53434349701</v>
      </c>
      <c r="V170">
        <f ca="1"/>
        <v>7566883.8046081001</v>
      </c>
      <c r="W170">
        <f ca="1"/>
        <v>364.83699999999999</v>
      </c>
      <c r="X170">
        <f ca="1"/>
        <v>688881.62753189995</v>
      </c>
      <c r="Y170">
        <f ca="1"/>
        <v>7566950.3274895996</v>
      </c>
      <c r="Z170">
        <f ca="1"/>
        <v>364.75</v>
      </c>
      <c r="AA170">
        <f ca="1"/>
        <v>1</v>
      </c>
      <c r="AB170">
        <f ca="1"/>
        <v>1.5</v>
      </c>
      <c r="AC170">
        <f ca="1"/>
        <v>3.16</v>
      </c>
      <c r="AD170">
        <f ca="1"/>
        <v>1.6</v>
      </c>
      <c r="AE170">
        <f ca="1"/>
        <v>3.16</v>
      </c>
    </row>
    <row r="171" spans="1:31" x14ac:dyDescent="0.25">
      <c r="A171">
        <f ca="1"/>
        <v>170</v>
      </c>
      <c r="B171">
        <f ca="1"/>
        <v>1</v>
      </c>
      <c r="C171">
        <f ca="1"/>
        <v>42</v>
      </c>
      <c r="D171" s="17">
        <f ca="1"/>
        <v>688861.7157853425</v>
      </c>
      <c r="E171" s="17">
        <f ca="1"/>
        <v>7566883.1385403574</v>
      </c>
      <c r="F171">
        <f ca="1"/>
        <v>364.73699999999997</v>
      </c>
      <c r="G171">
        <f ca="1"/>
        <v>0</v>
      </c>
      <c r="H171">
        <f ca="1"/>
        <v>0</v>
      </c>
      <c r="I171" t="str">
        <f ca="1"/>
        <v>MIN NO MERGE</v>
      </c>
      <c r="J171">
        <f ca="1"/>
        <v>22</v>
      </c>
      <c r="K171" t="str">
        <f ca="1"/>
        <v>R-4</v>
      </c>
      <c r="L171" t="str">
        <f ca="1"/>
        <v>R-4</v>
      </c>
      <c r="M171">
        <f ca="1"/>
        <v>0</v>
      </c>
      <c r="N171">
        <f ca="1"/>
        <v>-1.8363568360466447</v>
      </c>
      <c r="O171">
        <f ca="1"/>
        <v>-1.8363568360466447</v>
      </c>
      <c r="P171">
        <f ca="1"/>
        <v>1.3052358175431484</v>
      </c>
      <c r="Q171">
        <f ca="1"/>
        <v>1.5707963267948966</v>
      </c>
      <c r="R171">
        <f ca="1"/>
        <v>688863.53434349701</v>
      </c>
      <c r="S171">
        <f ca="1"/>
        <v>7566883.8046081001</v>
      </c>
      <c r="T171">
        <f ca="1"/>
        <v>364.83699999999999</v>
      </c>
      <c r="U171">
        <f ca="1"/>
        <v>688863.53434349701</v>
      </c>
      <c r="V171">
        <f ca="1"/>
        <v>7566883.8046081001</v>
      </c>
      <c r="W171">
        <f ca="1"/>
        <v>364.83699999999999</v>
      </c>
      <c r="X171">
        <f ca="1"/>
        <v>688881.62753189995</v>
      </c>
      <c r="Y171">
        <f ca="1"/>
        <v>7566950.3274895996</v>
      </c>
      <c r="Z171">
        <f ca="1"/>
        <v>364.75</v>
      </c>
      <c r="AA171">
        <f ca="1"/>
        <v>1</v>
      </c>
      <c r="AB171">
        <f ca="1"/>
        <v>1.5</v>
      </c>
      <c r="AC171">
        <f ca="1"/>
        <v>3.16</v>
      </c>
      <c r="AD171">
        <f ca="1"/>
        <v>1.6</v>
      </c>
      <c r="AE171">
        <f ca="1"/>
        <v>3.16</v>
      </c>
    </row>
    <row r="172" spans="1:31" x14ac:dyDescent="0.25">
      <c r="A172">
        <f ca="1"/>
        <v>171</v>
      </c>
      <c r="B172">
        <f ca="1"/>
        <v>2</v>
      </c>
      <c r="C172">
        <f ca="1"/>
        <v>42</v>
      </c>
      <c r="D172" s="17">
        <f ca="1"/>
        <v>688864.76501327008</v>
      </c>
      <c r="E172" s="17">
        <f ca="1"/>
        <v>7566882.3091978189</v>
      </c>
      <c r="F172">
        <f ca="1"/>
        <v>364.73699999999997</v>
      </c>
      <c r="G172">
        <f ca="1"/>
        <v>0</v>
      </c>
      <c r="H172">
        <f ca="1"/>
        <v>0</v>
      </c>
      <c r="I172" t="str">
        <f ca="1"/>
        <v>MIN NO MERGE</v>
      </c>
      <c r="J172">
        <f ca="1"/>
        <v>22</v>
      </c>
      <c r="K172" t="str">
        <f ca="1"/>
        <v>R-4</v>
      </c>
      <c r="L172" t="str">
        <f ca="1"/>
        <v>R-4</v>
      </c>
      <c r="M172">
        <f ca="1"/>
        <v>0</v>
      </c>
      <c r="N172">
        <f ca="1"/>
        <v>-1.8363568360466447</v>
      </c>
      <c r="O172">
        <f ca="1"/>
        <v>-1.8363568360466447</v>
      </c>
      <c r="P172">
        <f ca="1"/>
        <v>1.3052358175431484</v>
      </c>
      <c r="Q172">
        <f ca="1"/>
        <v>1.5707963267948966</v>
      </c>
      <c r="R172">
        <f ca="1"/>
        <v>688863.53434349701</v>
      </c>
      <c r="S172">
        <f ca="1"/>
        <v>7566883.8046081001</v>
      </c>
      <c r="T172">
        <f ca="1"/>
        <v>364.83699999999999</v>
      </c>
      <c r="U172">
        <f ca="1"/>
        <v>688863.53434349701</v>
      </c>
      <c r="V172">
        <f ca="1"/>
        <v>7566883.8046081001</v>
      </c>
      <c r="W172">
        <f ca="1"/>
        <v>364.83699999999999</v>
      </c>
      <c r="X172">
        <f ca="1"/>
        <v>688881.62753189995</v>
      </c>
      <c r="Y172">
        <f ca="1"/>
        <v>7566950.3274895996</v>
      </c>
      <c r="Z172">
        <f ca="1"/>
        <v>364.75</v>
      </c>
      <c r="AA172">
        <f ca="1"/>
        <v>1</v>
      </c>
      <c r="AB172">
        <f ca="1"/>
        <v>1.5</v>
      </c>
      <c r="AC172">
        <f ca="1"/>
        <v>3.16</v>
      </c>
      <c r="AD172">
        <f ca="1"/>
        <v>1.6</v>
      </c>
      <c r="AE172">
        <f ca="1"/>
        <v>3.16</v>
      </c>
    </row>
    <row r="173" spans="1:31" x14ac:dyDescent="0.25">
      <c r="A173">
        <f ca="1"/>
        <v>172</v>
      </c>
      <c r="B173">
        <f ca="1"/>
        <v>3</v>
      </c>
      <c r="C173">
        <f ca="1"/>
        <v>42</v>
      </c>
      <c r="D173" s="17">
        <f ca="1"/>
        <v>688865.18493354251</v>
      </c>
      <c r="E173" s="17">
        <f ca="1"/>
        <v>7566883.8531106934</v>
      </c>
      <c r="F173">
        <f ca="1"/>
        <v>364.73699999999997</v>
      </c>
      <c r="G173">
        <f ca="1"/>
        <v>0</v>
      </c>
      <c r="H173">
        <f ca="1"/>
        <v>0</v>
      </c>
      <c r="I173" t="str">
        <f ca="1"/>
        <v>MIN NO MERGE</v>
      </c>
      <c r="J173">
        <f ca="1"/>
        <v>22</v>
      </c>
      <c r="K173" t="str">
        <f ca="1"/>
        <v>R-4</v>
      </c>
      <c r="L173" t="str">
        <f ca="1"/>
        <v>R-4</v>
      </c>
      <c r="M173">
        <f ca="1"/>
        <v>0</v>
      </c>
      <c r="N173">
        <f ca="1"/>
        <v>-1.8363568360466447</v>
      </c>
      <c r="O173">
        <f ca="1"/>
        <v>-1.8363568360466447</v>
      </c>
      <c r="P173">
        <f ca="1"/>
        <v>1.3052358175431484</v>
      </c>
      <c r="Q173">
        <f ca="1"/>
        <v>1.5707963267948966</v>
      </c>
      <c r="R173">
        <f ca="1"/>
        <v>688863.53434349701</v>
      </c>
      <c r="S173">
        <f ca="1"/>
        <v>7566883.8046081001</v>
      </c>
      <c r="T173">
        <f ca="1"/>
        <v>364.83699999999999</v>
      </c>
      <c r="U173">
        <f ca="1"/>
        <v>688863.53434349701</v>
      </c>
      <c r="V173">
        <f ca="1"/>
        <v>7566883.8046081001</v>
      </c>
      <c r="W173">
        <f ca="1"/>
        <v>364.83699999999999</v>
      </c>
      <c r="X173">
        <f ca="1"/>
        <v>688881.62753189995</v>
      </c>
      <c r="Y173">
        <f ca="1"/>
        <v>7566950.3274895996</v>
      </c>
      <c r="Z173">
        <f ca="1"/>
        <v>364.75</v>
      </c>
      <c r="AA173">
        <f ca="1"/>
        <v>1</v>
      </c>
      <c r="AB173">
        <f ca="1"/>
        <v>1.5</v>
      </c>
      <c r="AC173">
        <f ca="1"/>
        <v>3.16</v>
      </c>
      <c r="AD173">
        <f ca="1"/>
        <v>1.6</v>
      </c>
      <c r="AE173">
        <f ca="1"/>
        <v>3.16</v>
      </c>
    </row>
    <row r="174" spans="1:31" x14ac:dyDescent="0.25">
      <c r="A174">
        <f ca="1"/>
        <v>173</v>
      </c>
      <c r="B174">
        <f ca="1"/>
        <v>0</v>
      </c>
      <c r="C174">
        <f ca="1"/>
        <v>43</v>
      </c>
      <c r="D174" s="17">
        <f ca="1"/>
        <v>688883.02616978204</v>
      </c>
      <c r="E174" s="17">
        <f ca="1"/>
        <v>7566949.4496444678</v>
      </c>
      <c r="F174">
        <f ca="1"/>
        <v>364.65</v>
      </c>
      <c r="G174">
        <f ca="1"/>
        <v>0</v>
      </c>
      <c r="H174">
        <f ca="1"/>
        <v>0</v>
      </c>
      <c r="I174" t="str">
        <f ca="1"/>
        <v>MIN NO MERGE</v>
      </c>
      <c r="J174">
        <f ca="1"/>
        <v>22</v>
      </c>
      <c r="K174" t="str">
        <f ca="1"/>
        <v>R-4</v>
      </c>
      <c r="L174" t="str">
        <f ca="1"/>
        <v>R-4</v>
      </c>
      <c r="M174">
        <f ca="1"/>
        <v>1</v>
      </c>
      <c r="N174">
        <f ca="1"/>
        <v>1.3052358175431484</v>
      </c>
      <c r="O174">
        <f ca="1"/>
        <v>1.3052358175431484</v>
      </c>
      <c r="P174">
        <f ca="1"/>
        <v>1.3052358175431484</v>
      </c>
      <c r="Q174">
        <f ca="1"/>
        <v>1.5707963267948966</v>
      </c>
      <c r="R174">
        <f ca="1"/>
        <v>688881.62753189995</v>
      </c>
      <c r="S174">
        <f ca="1"/>
        <v>7566950.3274895996</v>
      </c>
      <c r="T174">
        <f ca="1"/>
        <v>364.75</v>
      </c>
      <c r="U174">
        <f ca="1"/>
        <v>688863.53434349701</v>
      </c>
      <c r="V174">
        <f ca="1"/>
        <v>7566883.8046081001</v>
      </c>
      <c r="W174">
        <f ca="1"/>
        <v>364.83699999999999</v>
      </c>
      <c r="X174">
        <f ca="1"/>
        <v>688881.62753189995</v>
      </c>
      <c r="Y174">
        <f ca="1"/>
        <v>7566950.3274895996</v>
      </c>
      <c r="Z174">
        <f ca="1"/>
        <v>364.75</v>
      </c>
      <c r="AA174">
        <f ca="1"/>
        <v>1</v>
      </c>
      <c r="AB174">
        <f ca="1"/>
        <v>1.5</v>
      </c>
      <c r="AC174">
        <f ca="1"/>
        <v>3.16</v>
      </c>
      <c r="AD174">
        <f ca="1"/>
        <v>1.6</v>
      </c>
      <c r="AE174">
        <f ca="1"/>
        <v>3.16</v>
      </c>
    </row>
    <row r="175" spans="1:31" x14ac:dyDescent="0.25">
      <c r="A175">
        <f ca="1"/>
        <v>174</v>
      </c>
      <c r="B175">
        <f ca="1"/>
        <v>1</v>
      </c>
      <c r="C175">
        <f ca="1"/>
        <v>43</v>
      </c>
      <c r="D175" s="17">
        <f ca="1"/>
        <v>688883.44609005447</v>
      </c>
      <c r="E175" s="17">
        <f ca="1"/>
        <v>7566950.9935573423</v>
      </c>
      <c r="F175">
        <f ca="1"/>
        <v>364.65</v>
      </c>
      <c r="G175">
        <f ca="1"/>
        <v>0</v>
      </c>
      <c r="H175">
        <f ca="1"/>
        <v>0</v>
      </c>
      <c r="I175" t="str">
        <f ca="1"/>
        <v>MIN NO MERGE</v>
      </c>
      <c r="J175">
        <f ca="1"/>
        <v>22</v>
      </c>
      <c r="K175" t="str">
        <f ca="1"/>
        <v>R-4</v>
      </c>
      <c r="L175" t="str">
        <f ca="1"/>
        <v>R-4</v>
      </c>
      <c r="M175">
        <f ca="1"/>
        <v>1</v>
      </c>
      <c r="N175">
        <f ca="1"/>
        <v>1.3052358175431484</v>
      </c>
      <c r="O175">
        <f ca="1"/>
        <v>1.3052358175431484</v>
      </c>
      <c r="P175">
        <f ca="1"/>
        <v>1.3052358175431484</v>
      </c>
      <c r="Q175">
        <f ca="1"/>
        <v>1.5707963267948966</v>
      </c>
      <c r="R175">
        <f ca="1"/>
        <v>688881.62753189995</v>
      </c>
      <c r="S175">
        <f ca="1"/>
        <v>7566950.3274895996</v>
      </c>
      <c r="T175">
        <f ca="1"/>
        <v>364.75</v>
      </c>
      <c r="U175">
        <f ca="1"/>
        <v>688863.53434349701</v>
      </c>
      <c r="V175">
        <f ca="1"/>
        <v>7566883.8046081001</v>
      </c>
      <c r="W175">
        <f ca="1"/>
        <v>364.83699999999999</v>
      </c>
      <c r="X175">
        <f ca="1"/>
        <v>688881.62753189995</v>
      </c>
      <c r="Y175">
        <f ca="1"/>
        <v>7566950.3274895996</v>
      </c>
      <c r="Z175">
        <f ca="1"/>
        <v>364.75</v>
      </c>
      <c r="AA175">
        <f ca="1"/>
        <v>1</v>
      </c>
      <c r="AB175">
        <f ca="1"/>
        <v>1.5</v>
      </c>
      <c r="AC175">
        <f ca="1"/>
        <v>3.16</v>
      </c>
      <c r="AD175">
        <f ca="1"/>
        <v>1.6</v>
      </c>
      <c r="AE175">
        <f ca="1"/>
        <v>3.16</v>
      </c>
    </row>
    <row r="176" spans="1:31" x14ac:dyDescent="0.25">
      <c r="A176">
        <f ca="1"/>
        <v>175</v>
      </c>
      <c r="B176">
        <f ca="1"/>
        <v>2</v>
      </c>
      <c r="C176">
        <f ca="1"/>
        <v>43</v>
      </c>
      <c r="D176" s="17">
        <f ca="1"/>
        <v>688880.39686212689</v>
      </c>
      <c r="E176" s="17">
        <f ca="1"/>
        <v>7566951.8228998808</v>
      </c>
      <c r="F176">
        <f ca="1"/>
        <v>364.65</v>
      </c>
      <c r="G176">
        <f ca="1"/>
        <v>0</v>
      </c>
      <c r="H176">
        <f ca="1"/>
        <v>0</v>
      </c>
      <c r="I176" t="str">
        <f ca="1"/>
        <v>MIN NO MERGE</v>
      </c>
      <c r="J176">
        <f ca="1"/>
        <v>22</v>
      </c>
      <c r="K176" t="str">
        <f ca="1"/>
        <v>R-4</v>
      </c>
      <c r="L176" t="str">
        <f ca="1"/>
        <v>R-4</v>
      </c>
      <c r="M176">
        <f ca="1"/>
        <v>1</v>
      </c>
      <c r="N176">
        <f ca="1"/>
        <v>1.3052358175431484</v>
      </c>
      <c r="O176">
        <f ca="1"/>
        <v>1.3052358175431484</v>
      </c>
      <c r="P176">
        <f ca="1"/>
        <v>1.3052358175431484</v>
      </c>
      <c r="Q176">
        <f ca="1"/>
        <v>1.5707963267948966</v>
      </c>
      <c r="R176">
        <f ca="1"/>
        <v>688881.62753189995</v>
      </c>
      <c r="S176">
        <f ca="1"/>
        <v>7566950.3274895996</v>
      </c>
      <c r="T176">
        <f ca="1"/>
        <v>364.75</v>
      </c>
      <c r="U176">
        <f ca="1"/>
        <v>688863.53434349701</v>
      </c>
      <c r="V176">
        <f ca="1"/>
        <v>7566883.8046081001</v>
      </c>
      <c r="W176">
        <f ca="1"/>
        <v>364.83699999999999</v>
      </c>
      <c r="X176">
        <f ca="1"/>
        <v>688881.62753189995</v>
      </c>
      <c r="Y176">
        <f ca="1"/>
        <v>7566950.3274895996</v>
      </c>
      <c r="Z176">
        <f ca="1"/>
        <v>364.75</v>
      </c>
      <c r="AA176">
        <f ca="1"/>
        <v>1</v>
      </c>
      <c r="AB176">
        <f ca="1"/>
        <v>1.5</v>
      </c>
      <c r="AC176">
        <f ca="1"/>
        <v>3.16</v>
      </c>
      <c r="AD176">
        <f ca="1"/>
        <v>1.6</v>
      </c>
      <c r="AE176">
        <f ca="1"/>
        <v>3.16</v>
      </c>
    </row>
    <row r="177" spans="1:31" x14ac:dyDescent="0.25">
      <c r="A177">
        <f ca="1"/>
        <v>176</v>
      </c>
      <c r="B177">
        <f ca="1"/>
        <v>3</v>
      </c>
      <c r="C177">
        <f ca="1"/>
        <v>43</v>
      </c>
      <c r="D177" s="17">
        <f ca="1"/>
        <v>688879.97694185446</v>
      </c>
      <c r="E177" s="17">
        <f ca="1"/>
        <v>7566950.2789870063</v>
      </c>
      <c r="F177">
        <f ca="1"/>
        <v>364.65</v>
      </c>
      <c r="G177">
        <f ca="1"/>
        <v>0</v>
      </c>
      <c r="H177">
        <f ca="1"/>
        <v>0</v>
      </c>
      <c r="I177" t="str">
        <f ca="1"/>
        <v>MIN NO MERGE</v>
      </c>
      <c r="J177">
        <f ca="1"/>
        <v>22</v>
      </c>
      <c r="K177" t="str">
        <f ca="1"/>
        <v>R-4</v>
      </c>
      <c r="L177" t="str">
        <f ca="1"/>
        <v>R-4</v>
      </c>
      <c r="M177">
        <f ca="1"/>
        <v>1</v>
      </c>
      <c r="N177">
        <f ca="1"/>
        <v>1.3052358175431484</v>
      </c>
      <c r="O177">
        <f ca="1"/>
        <v>1.3052358175431484</v>
      </c>
      <c r="P177">
        <f ca="1"/>
        <v>1.3052358175431484</v>
      </c>
      <c r="Q177">
        <f ca="1"/>
        <v>1.5707963267948966</v>
      </c>
      <c r="R177">
        <f ca="1"/>
        <v>688881.62753189995</v>
      </c>
      <c r="S177">
        <f ca="1"/>
        <v>7566950.3274895996</v>
      </c>
      <c r="T177">
        <f ca="1"/>
        <v>364.75</v>
      </c>
      <c r="U177">
        <f ca="1"/>
        <v>688863.53434349701</v>
      </c>
      <c r="V177">
        <f ca="1"/>
        <v>7566883.8046081001</v>
      </c>
      <c r="W177">
        <f ca="1"/>
        <v>364.83699999999999</v>
      </c>
      <c r="X177">
        <f ca="1"/>
        <v>688881.62753189995</v>
      </c>
      <c r="Y177">
        <f ca="1"/>
        <v>7566950.3274895996</v>
      </c>
      <c r="Z177">
        <f ca="1"/>
        <v>364.75</v>
      </c>
      <c r="AA177">
        <f ca="1"/>
        <v>1</v>
      </c>
      <c r="AB177">
        <f ca="1"/>
        <v>1.5</v>
      </c>
      <c r="AC177">
        <f ca="1"/>
        <v>3.16</v>
      </c>
      <c r="AD177">
        <f ca="1"/>
        <v>1.6</v>
      </c>
      <c r="AE177">
        <f ca="1"/>
        <v>3.16</v>
      </c>
    </row>
    <row r="178" spans="1:31" x14ac:dyDescent="0.25">
      <c r="A178">
        <f ca="1"/>
        <v>177</v>
      </c>
      <c r="B178">
        <f ca="1"/>
        <v>0</v>
      </c>
      <c r="C178">
        <f ca="1"/>
        <v>44</v>
      </c>
      <c r="D178" s="17">
        <f ca="1"/>
        <v>689063.28026040329</v>
      </c>
      <c r="E178" s="17">
        <f ca="1"/>
        <v>7566962.0063004019</v>
      </c>
      <c r="F178">
        <f ca="1"/>
        <v>363.55560913085895</v>
      </c>
      <c r="G178">
        <f ca="1"/>
        <v>0</v>
      </c>
      <c r="H178">
        <f ca="1"/>
        <v>0</v>
      </c>
      <c r="I178" t="str">
        <f ca="1"/>
        <v>MIN NO MERGE</v>
      </c>
      <c r="J178">
        <f ca="1"/>
        <v>23</v>
      </c>
      <c r="K178" t="str">
        <f ca="1"/>
        <v>R-5</v>
      </c>
      <c r="L178" t="str">
        <f ca="1"/>
        <v>R-5</v>
      </c>
      <c r="M178">
        <f ca="1"/>
        <v>0</v>
      </c>
      <c r="N178">
        <f ca="1"/>
        <v>-1.2311265436362255</v>
      </c>
      <c r="O178">
        <f ca="1"/>
        <v>-1.2311265436362255</v>
      </c>
      <c r="P178">
        <f ca="1"/>
        <v>1.9104661099535667</v>
      </c>
      <c r="Q178">
        <f ca="1"/>
        <v>1.5707963267948966</v>
      </c>
      <c r="R178">
        <f ca="1"/>
        <v>689064.92991105304</v>
      </c>
      <c r="S178">
        <f ca="1"/>
        <v>7566962.0801430298</v>
      </c>
      <c r="T178">
        <f ca="1"/>
        <v>363.65560913085898</v>
      </c>
      <c r="U178">
        <f ca="1"/>
        <v>689064.92991105304</v>
      </c>
      <c r="V178">
        <f ca="1"/>
        <v>7566962.0801430298</v>
      </c>
      <c r="W178">
        <f ca="1"/>
        <v>363.65560913085898</v>
      </c>
      <c r="X178">
        <f ca="1"/>
        <v>689051.27705024497</v>
      </c>
      <c r="Y178">
        <f ca="1"/>
        <v>7567000.7168103503</v>
      </c>
      <c r="Z178">
        <f ca="1"/>
        <v>363.08898925781199</v>
      </c>
      <c r="AA178">
        <f ca="1"/>
        <v>1</v>
      </c>
      <c r="AB178">
        <f ca="1"/>
        <v>1.5</v>
      </c>
      <c r="AC178">
        <f ca="1"/>
        <v>3.16</v>
      </c>
      <c r="AD178">
        <f ca="1"/>
        <v>1.6</v>
      </c>
      <c r="AE178">
        <f ca="1"/>
        <v>3.16</v>
      </c>
    </row>
    <row r="179" spans="1:31" x14ac:dyDescent="0.25">
      <c r="A179">
        <f ca="1"/>
        <v>178</v>
      </c>
      <c r="B179">
        <f ca="1"/>
        <v>1</v>
      </c>
      <c r="C179">
        <f ca="1"/>
        <v>44</v>
      </c>
      <c r="D179" s="17">
        <f ca="1"/>
        <v>689063.81334162003</v>
      </c>
      <c r="E179" s="17">
        <f ca="1"/>
        <v>7566960.4977168227</v>
      </c>
      <c r="F179">
        <f ca="1"/>
        <v>363.55560913085895</v>
      </c>
      <c r="G179">
        <f ca="1"/>
        <v>0</v>
      </c>
      <c r="H179">
        <f ca="1"/>
        <v>0</v>
      </c>
      <c r="I179" t="str">
        <f ca="1"/>
        <v>MIN NO MERGE</v>
      </c>
      <c r="J179">
        <f ca="1"/>
        <v>23</v>
      </c>
      <c r="K179" t="str">
        <f ca="1"/>
        <v>R-5</v>
      </c>
      <c r="L179" t="str">
        <f ca="1"/>
        <v>R-5</v>
      </c>
      <c r="M179">
        <f ca="1"/>
        <v>0</v>
      </c>
      <c r="N179">
        <f ca="1"/>
        <v>-1.2311265436362255</v>
      </c>
      <c r="O179">
        <f ca="1"/>
        <v>-1.2311265436362255</v>
      </c>
      <c r="P179">
        <f ca="1"/>
        <v>1.9104661099535667</v>
      </c>
      <c r="Q179">
        <f ca="1"/>
        <v>1.5707963267948966</v>
      </c>
      <c r="R179">
        <f ca="1"/>
        <v>689064.92991105304</v>
      </c>
      <c r="S179">
        <f ca="1"/>
        <v>7566962.0801430298</v>
      </c>
      <c r="T179">
        <f ca="1"/>
        <v>363.65560913085898</v>
      </c>
      <c r="U179">
        <f ca="1"/>
        <v>689064.92991105304</v>
      </c>
      <c r="V179">
        <f ca="1"/>
        <v>7566962.0801430298</v>
      </c>
      <c r="W179">
        <f ca="1"/>
        <v>363.65560913085898</v>
      </c>
      <c r="X179">
        <f ca="1"/>
        <v>689051.27705024497</v>
      </c>
      <c r="Y179">
        <f ca="1"/>
        <v>7567000.7168103503</v>
      </c>
      <c r="Z179">
        <f ca="1"/>
        <v>363.08898925781199</v>
      </c>
      <c r="AA179">
        <f ca="1"/>
        <v>1</v>
      </c>
      <c r="AB179">
        <f ca="1"/>
        <v>1.5</v>
      </c>
      <c r="AC179">
        <f ca="1"/>
        <v>3.16</v>
      </c>
      <c r="AD179">
        <f ca="1"/>
        <v>1.6</v>
      </c>
      <c r="AE179">
        <f ca="1"/>
        <v>3.16</v>
      </c>
    </row>
    <row r="180" spans="1:31" x14ac:dyDescent="0.25">
      <c r="A180">
        <f ca="1"/>
        <v>179</v>
      </c>
      <c r="B180">
        <f ca="1"/>
        <v>2</v>
      </c>
      <c r="C180">
        <f ca="1"/>
        <v>44</v>
      </c>
      <c r="D180" s="17">
        <f ca="1"/>
        <v>689066.79279418953</v>
      </c>
      <c r="E180" s="17">
        <f ca="1"/>
        <v>7566961.5505522257</v>
      </c>
      <c r="F180">
        <f ca="1"/>
        <v>363.55560913085895</v>
      </c>
      <c r="G180">
        <f ca="1"/>
        <v>0</v>
      </c>
      <c r="H180">
        <f ca="1"/>
        <v>0</v>
      </c>
      <c r="I180" t="str">
        <f ca="1"/>
        <v>MIN NO MERGE</v>
      </c>
      <c r="J180">
        <f ca="1"/>
        <v>23</v>
      </c>
      <c r="K180" t="str">
        <f ca="1"/>
        <v>R-5</v>
      </c>
      <c r="L180" t="str">
        <f ca="1"/>
        <v>R-5</v>
      </c>
      <c r="M180">
        <f ca="1"/>
        <v>0</v>
      </c>
      <c r="N180">
        <f ca="1"/>
        <v>-1.2311265436362255</v>
      </c>
      <c r="O180">
        <f ca="1"/>
        <v>-1.2311265436362255</v>
      </c>
      <c r="P180">
        <f ca="1"/>
        <v>1.9104661099535667</v>
      </c>
      <c r="Q180">
        <f ca="1"/>
        <v>1.5707963267948966</v>
      </c>
      <c r="R180">
        <f ca="1"/>
        <v>689064.92991105304</v>
      </c>
      <c r="S180">
        <f ca="1"/>
        <v>7566962.0801430298</v>
      </c>
      <c r="T180">
        <f ca="1"/>
        <v>363.65560913085898</v>
      </c>
      <c r="U180">
        <f ca="1"/>
        <v>689064.92991105304</v>
      </c>
      <c r="V180">
        <f ca="1"/>
        <v>7566962.0801430298</v>
      </c>
      <c r="W180">
        <f ca="1"/>
        <v>363.65560913085898</v>
      </c>
      <c r="X180">
        <f ca="1"/>
        <v>689051.27705024497</v>
      </c>
      <c r="Y180">
        <f ca="1"/>
        <v>7567000.7168103503</v>
      </c>
      <c r="Z180">
        <f ca="1"/>
        <v>363.08898925781199</v>
      </c>
      <c r="AA180">
        <f ca="1"/>
        <v>1</v>
      </c>
      <c r="AB180">
        <f ca="1"/>
        <v>1.5</v>
      </c>
      <c r="AC180">
        <f ca="1"/>
        <v>3.16</v>
      </c>
      <c r="AD180">
        <f ca="1"/>
        <v>1.6</v>
      </c>
      <c r="AE180">
        <f ca="1"/>
        <v>3.16</v>
      </c>
    </row>
    <row r="181" spans="1:31" x14ac:dyDescent="0.25">
      <c r="A181">
        <f ca="1"/>
        <v>180</v>
      </c>
      <c r="B181">
        <f ca="1"/>
        <v>3</v>
      </c>
      <c r="C181">
        <f ca="1"/>
        <v>44</v>
      </c>
      <c r="D181" s="17">
        <f ca="1"/>
        <v>689066.25971297279</v>
      </c>
      <c r="E181" s="17">
        <f ca="1"/>
        <v>7566963.0591358049</v>
      </c>
      <c r="F181">
        <f ca="1"/>
        <v>363.55560913085895</v>
      </c>
      <c r="G181">
        <f ca="1"/>
        <v>0</v>
      </c>
      <c r="H181">
        <f ca="1"/>
        <v>0</v>
      </c>
      <c r="I181" t="str">
        <f ca="1"/>
        <v>MIN NO MERGE</v>
      </c>
      <c r="J181">
        <f ca="1"/>
        <v>23</v>
      </c>
      <c r="K181" t="str">
        <f ca="1"/>
        <v>R-5</v>
      </c>
      <c r="L181" t="str">
        <f ca="1"/>
        <v>R-5</v>
      </c>
      <c r="M181">
        <f ca="1"/>
        <v>0</v>
      </c>
      <c r="N181">
        <f ca="1"/>
        <v>-1.2311265436362255</v>
      </c>
      <c r="O181">
        <f ca="1"/>
        <v>-1.2311265436362255</v>
      </c>
      <c r="P181">
        <f ca="1"/>
        <v>1.9104661099535667</v>
      </c>
      <c r="Q181">
        <f ca="1"/>
        <v>1.5707963267948966</v>
      </c>
      <c r="R181">
        <f ca="1"/>
        <v>689064.92991105304</v>
      </c>
      <c r="S181">
        <f ca="1"/>
        <v>7566962.0801430298</v>
      </c>
      <c r="T181">
        <f ca="1"/>
        <v>363.65560913085898</v>
      </c>
      <c r="U181">
        <f ca="1"/>
        <v>689064.92991105304</v>
      </c>
      <c r="V181">
        <f ca="1"/>
        <v>7566962.0801430298</v>
      </c>
      <c r="W181">
        <f ca="1"/>
        <v>363.65560913085898</v>
      </c>
      <c r="X181">
        <f ca="1"/>
        <v>689051.27705024497</v>
      </c>
      <c r="Y181">
        <f ca="1"/>
        <v>7567000.7168103503</v>
      </c>
      <c r="Z181">
        <f ca="1"/>
        <v>363.08898925781199</v>
      </c>
      <c r="AA181">
        <f ca="1"/>
        <v>1</v>
      </c>
      <c r="AB181">
        <f ca="1"/>
        <v>1.5</v>
      </c>
      <c r="AC181">
        <f ca="1"/>
        <v>3.16</v>
      </c>
      <c r="AD181">
        <f ca="1"/>
        <v>1.6</v>
      </c>
      <c r="AE181">
        <f ca="1"/>
        <v>3.16</v>
      </c>
    </row>
    <row r="182" spans="1:31" x14ac:dyDescent="0.25">
      <c r="A182">
        <f ca="1"/>
        <v>181</v>
      </c>
      <c r="B182">
        <f ca="1"/>
        <v>0</v>
      </c>
      <c r="C182">
        <f ca="1"/>
        <v>45</v>
      </c>
      <c r="D182" s="17">
        <f ca="1"/>
        <v>689052.92670089472</v>
      </c>
      <c r="E182" s="17">
        <f ca="1"/>
        <v>7567000.7906529782</v>
      </c>
      <c r="F182">
        <f ca="1"/>
        <v>362.98898925781197</v>
      </c>
      <c r="G182">
        <f ca="1"/>
        <v>0</v>
      </c>
      <c r="H182">
        <f ca="1"/>
        <v>0</v>
      </c>
      <c r="I182" t="str">
        <f ca="1"/>
        <v>MIN NO MERGE</v>
      </c>
      <c r="J182">
        <f ca="1"/>
        <v>23</v>
      </c>
      <c r="K182" t="str">
        <f ca="1"/>
        <v>R-5</v>
      </c>
      <c r="L182" t="str">
        <f ca="1"/>
        <v>R-5</v>
      </c>
      <c r="M182">
        <f ca="1"/>
        <v>1</v>
      </c>
      <c r="N182">
        <f ca="1"/>
        <v>1.9104661099535667</v>
      </c>
      <c r="O182">
        <f ca="1"/>
        <v>1.9104661099535667</v>
      </c>
      <c r="P182">
        <f ca="1"/>
        <v>1.9104661099535667</v>
      </c>
      <c r="Q182">
        <f ca="1"/>
        <v>1.5707963267948966</v>
      </c>
      <c r="R182">
        <f ca="1"/>
        <v>689051.27705024497</v>
      </c>
      <c r="S182">
        <f ca="1"/>
        <v>7567000.7168103503</v>
      </c>
      <c r="T182">
        <f ca="1"/>
        <v>363.08898925781199</v>
      </c>
      <c r="U182">
        <f ca="1"/>
        <v>689064.92991105304</v>
      </c>
      <c r="V182">
        <f ca="1"/>
        <v>7566962.0801430298</v>
      </c>
      <c r="W182">
        <f ca="1"/>
        <v>363.65560913085898</v>
      </c>
      <c r="X182">
        <f ca="1"/>
        <v>689051.27705024497</v>
      </c>
      <c r="Y182">
        <f ca="1"/>
        <v>7567000.7168103503</v>
      </c>
      <c r="Z182">
        <f ca="1"/>
        <v>363.08898925781199</v>
      </c>
      <c r="AA182">
        <f ca="1"/>
        <v>1</v>
      </c>
      <c r="AB182">
        <f ca="1"/>
        <v>1.5</v>
      </c>
      <c r="AC182">
        <f ca="1"/>
        <v>3.16</v>
      </c>
      <c r="AD182">
        <f ca="1"/>
        <v>1.6</v>
      </c>
      <c r="AE182">
        <f ca="1"/>
        <v>3.16</v>
      </c>
    </row>
    <row r="183" spans="1:31" x14ac:dyDescent="0.25">
      <c r="A183">
        <f ca="1"/>
        <v>182</v>
      </c>
      <c r="B183">
        <f ca="1"/>
        <v>1</v>
      </c>
      <c r="C183">
        <f ca="1"/>
        <v>45</v>
      </c>
      <c r="D183" s="17">
        <f ca="1"/>
        <v>689052.39361967798</v>
      </c>
      <c r="E183" s="17">
        <f ca="1"/>
        <v>7567002.2992365574</v>
      </c>
      <c r="F183">
        <f ca="1"/>
        <v>362.98898925781197</v>
      </c>
      <c r="G183">
        <f ca="1"/>
        <v>0</v>
      </c>
      <c r="H183">
        <f ca="1"/>
        <v>0</v>
      </c>
      <c r="I183" t="str">
        <f ca="1"/>
        <v>MIN NO MERGE</v>
      </c>
      <c r="J183">
        <f ca="1"/>
        <v>23</v>
      </c>
      <c r="K183" t="str">
        <f ca="1"/>
        <v>R-5</v>
      </c>
      <c r="L183" t="str">
        <f ca="1"/>
        <v>R-5</v>
      </c>
      <c r="M183">
        <f ca="1"/>
        <v>1</v>
      </c>
      <c r="N183">
        <f ca="1"/>
        <v>1.9104661099535667</v>
      </c>
      <c r="O183">
        <f ca="1"/>
        <v>1.9104661099535667</v>
      </c>
      <c r="P183">
        <f ca="1"/>
        <v>1.9104661099535667</v>
      </c>
      <c r="Q183">
        <f ca="1"/>
        <v>1.5707963267948966</v>
      </c>
      <c r="R183">
        <f ca="1"/>
        <v>689051.27705024497</v>
      </c>
      <c r="S183">
        <f ca="1"/>
        <v>7567000.7168103503</v>
      </c>
      <c r="T183">
        <f ca="1"/>
        <v>363.08898925781199</v>
      </c>
      <c r="U183">
        <f ca="1"/>
        <v>689064.92991105304</v>
      </c>
      <c r="V183">
        <f ca="1"/>
        <v>7566962.0801430298</v>
      </c>
      <c r="W183">
        <f ca="1"/>
        <v>363.65560913085898</v>
      </c>
      <c r="X183">
        <f ca="1"/>
        <v>689051.27705024497</v>
      </c>
      <c r="Y183">
        <f ca="1"/>
        <v>7567000.7168103503</v>
      </c>
      <c r="Z183">
        <f ca="1"/>
        <v>363.08898925781199</v>
      </c>
      <c r="AA183">
        <f ca="1"/>
        <v>1</v>
      </c>
      <c r="AB183">
        <f ca="1"/>
        <v>1.5</v>
      </c>
      <c r="AC183">
        <f ca="1"/>
        <v>3.16</v>
      </c>
      <c r="AD183">
        <f ca="1"/>
        <v>1.6</v>
      </c>
      <c r="AE183">
        <f ca="1"/>
        <v>3.16</v>
      </c>
    </row>
    <row r="184" spans="1:31" x14ac:dyDescent="0.25">
      <c r="A184">
        <f ca="1"/>
        <v>183</v>
      </c>
      <c r="B184">
        <f ca="1"/>
        <v>2</v>
      </c>
      <c r="C184">
        <f ca="1"/>
        <v>45</v>
      </c>
      <c r="D184" s="17">
        <f ca="1"/>
        <v>689049.41416710848</v>
      </c>
      <c r="E184" s="17">
        <f ca="1"/>
        <v>7567001.2464011544</v>
      </c>
      <c r="F184">
        <f ca="1"/>
        <v>362.98898925781197</v>
      </c>
      <c r="G184">
        <f ca="1"/>
        <v>0</v>
      </c>
      <c r="H184">
        <f ca="1"/>
        <v>0</v>
      </c>
      <c r="I184" t="str">
        <f ca="1"/>
        <v>MIN NO MERGE</v>
      </c>
      <c r="J184">
        <f ca="1"/>
        <v>23</v>
      </c>
      <c r="K184" t="str">
        <f ca="1"/>
        <v>R-5</v>
      </c>
      <c r="L184" t="str">
        <f ca="1"/>
        <v>R-5</v>
      </c>
      <c r="M184">
        <f ca="1"/>
        <v>1</v>
      </c>
      <c r="N184">
        <f ca="1"/>
        <v>1.9104661099535667</v>
      </c>
      <c r="O184">
        <f ca="1"/>
        <v>1.9104661099535667</v>
      </c>
      <c r="P184">
        <f ca="1"/>
        <v>1.9104661099535667</v>
      </c>
      <c r="Q184">
        <f ca="1"/>
        <v>1.5707963267948966</v>
      </c>
      <c r="R184">
        <f ca="1"/>
        <v>689051.27705024497</v>
      </c>
      <c r="S184">
        <f ca="1"/>
        <v>7567000.7168103503</v>
      </c>
      <c r="T184">
        <f ca="1"/>
        <v>363.08898925781199</v>
      </c>
      <c r="U184">
        <f ca="1"/>
        <v>689064.92991105304</v>
      </c>
      <c r="V184">
        <f ca="1"/>
        <v>7566962.0801430298</v>
      </c>
      <c r="W184">
        <f ca="1"/>
        <v>363.65560913085898</v>
      </c>
      <c r="X184">
        <f ca="1"/>
        <v>689051.27705024497</v>
      </c>
      <c r="Y184">
        <f ca="1"/>
        <v>7567000.7168103503</v>
      </c>
      <c r="Z184">
        <f ca="1"/>
        <v>363.08898925781199</v>
      </c>
      <c r="AA184">
        <f ca="1"/>
        <v>1</v>
      </c>
      <c r="AB184">
        <f ca="1"/>
        <v>1.5</v>
      </c>
      <c r="AC184">
        <f ca="1"/>
        <v>3.16</v>
      </c>
      <c r="AD184">
        <f ca="1"/>
        <v>1.6</v>
      </c>
      <c r="AE184">
        <f ca="1"/>
        <v>3.16</v>
      </c>
    </row>
    <row r="185" spans="1:31" x14ac:dyDescent="0.25">
      <c r="A185">
        <f ca="1"/>
        <v>184</v>
      </c>
      <c r="B185">
        <f ca="1"/>
        <v>3</v>
      </c>
      <c r="C185">
        <f ca="1"/>
        <v>45</v>
      </c>
      <c r="D185" s="17">
        <f ca="1"/>
        <v>689049.94724832522</v>
      </c>
      <c r="E185" s="17">
        <f ca="1"/>
        <v>7566999.7378175752</v>
      </c>
      <c r="F185">
        <f ca="1"/>
        <v>362.98898925781197</v>
      </c>
      <c r="G185">
        <f ca="1"/>
        <v>0</v>
      </c>
      <c r="H185">
        <f ca="1"/>
        <v>0</v>
      </c>
      <c r="I185" t="str">
        <f ca="1"/>
        <v>MIN NO MERGE</v>
      </c>
      <c r="J185">
        <f ca="1"/>
        <v>23</v>
      </c>
      <c r="K185" t="str">
        <f ca="1"/>
        <v>R-5</v>
      </c>
      <c r="L185" t="str">
        <f ca="1"/>
        <v>R-5</v>
      </c>
      <c r="M185">
        <f ca="1"/>
        <v>1</v>
      </c>
      <c r="N185">
        <f ca="1"/>
        <v>1.9104661099535667</v>
      </c>
      <c r="O185">
        <f ca="1"/>
        <v>1.9104661099535667</v>
      </c>
      <c r="P185">
        <f ca="1"/>
        <v>1.9104661099535667</v>
      </c>
      <c r="Q185">
        <f ca="1"/>
        <v>1.5707963267948966</v>
      </c>
      <c r="R185">
        <f ca="1"/>
        <v>689051.27705024497</v>
      </c>
      <c r="S185">
        <f ca="1"/>
        <v>7567000.7168103503</v>
      </c>
      <c r="T185">
        <f ca="1"/>
        <v>363.08898925781199</v>
      </c>
      <c r="U185">
        <f ca="1"/>
        <v>689064.92991105304</v>
      </c>
      <c r="V185">
        <f ca="1"/>
        <v>7566962.0801430298</v>
      </c>
      <c r="W185">
        <f ca="1"/>
        <v>363.65560913085898</v>
      </c>
      <c r="X185">
        <f ca="1"/>
        <v>689051.27705024497</v>
      </c>
      <c r="Y185">
        <f ca="1"/>
        <v>7567000.7168103503</v>
      </c>
      <c r="Z185">
        <f ca="1"/>
        <v>363.08898925781199</v>
      </c>
      <c r="AA185">
        <f ca="1"/>
        <v>1</v>
      </c>
      <c r="AB185">
        <f ca="1"/>
        <v>1.5</v>
      </c>
      <c r="AC185">
        <f ca="1"/>
        <v>3.16</v>
      </c>
      <c r="AD185">
        <f ca="1"/>
        <v>1.6</v>
      </c>
      <c r="AE185">
        <f ca="1"/>
        <v>3.16</v>
      </c>
    </row>
    <row r="186" spans="1:31" x14ac:dyDescent="0.25">
      <c r="A186">
        <f ca="1"/>
        <v>185</v>
      </c>
      <c r="B186">
        <f ca="1"/>
        <v>0</v>
      </c>
      <c r="C186">
        <f ca="1"/>
        <v>46</v>
      </c>
      <c r="D186" s="17">
        <f ca="1"/>
        <v>689861.03397255414</v>
      </c>
      <c r="E186" s="17">
        <f ca="1"/>
        <v>7567404.2271338804</v>
      </c>
      <c r="F186">
        <f ca="1"/>
        <v>353.08801879882799</v>
      </c>
      <c r="G186">
        <f ca="1"/>
        <v>0</v>
      </c>
      <c r="H186">
        <f ca="1"/>
        <v>0</v>
      </c>
      <c r="I186" t="str">
        <f ca="1"/>
        <v>MIN NO MERGE</v>
      </c>
      <c r="J186">
        <f ca="1"/>
        <v>24</v>
      </c>
      <c r="K186" t="str">
        <f ca="1"/>
        <v>R-6</v>
      </c>
      <c r="L186" t="str">
        <f ca="1"/>
        <v>R-6</v>
      </c>
      <c r="M186">
        <f ca="1"/>
        <v>0</v>
      </c>
      <c r="N186">
        <f ca="1"/>
        <v>-0.71665051284015391</v>
      </c>
      <c r="O186">
        <f ca="1"/>
        <v>-0.71665051284015391</v>
      </c>
      <c r="P186">
        <f ca="1"/>
        <v>2.4249421407496383</v>
      </c>
      <c r="Q186">
        <f ca="1"/>
        <v>1.5707963267948966</v>
      </c>
      <c r="R186">
        <f ca="1"/>
        <v>689871.65609456401</v>
      </c>
      <c r="S186">
        <f ca="1"/>
        <v>7567415.6894776197</v>
      </c>
      <c r="T186">
        <f ca="1"/>
        <v>353.18801879882801</v>
      </c>
      <c r="U186">
        <f ca="1"/>
        <v>689871.65609456401</v>
      </c>
      <c r="V186">
        <f ca="1"/>
        <v>7567415.6894776197</v>
      </c>
      <c r="W186">
        <f ca="1"/>
        <v>353.18801879882801</v>
      </c>
      <c r="X186">
        <f ca="1"/>
        <v>689840.85410076904</v>
      </c>
      <c r="Y186">
        <f ca="1"/>
        <v>7567442.5229167296</v>
      </c>
      <c r="Z186">
        <f ca="1"/>
        <v>352.41442871093699</v>
      </c>
      <c r="AA186">
        <f ca="1"/>
        <v>14</v>
      </c>
      <c r="AB186">
        <f ca="1"/>
        <v>1.5</v>
      </c>
      <c r="AC186">
        <f ca="1"/>
        <v>31.24</v>
      </c>
      <c r="AD186">
        <f ca="1"/>
        <v>1.6</v>
      </c>
      <c r="AE186">
        <f ca="1"/>
        <v>31.24</v>
      </c>
    </row>
    <row r="187" spans="1:31" x14ac:dyDescent="0.25">
      <c r="A187">
        <f ca="1"/>
        <v>186</v>
      </c>
      <c r="B187">
        <f ca="1"/>
        <v>1</v>
      </c>
      <c r="C187">
        <f ca="1"/>
        <v>46</v>
      </c>
      <c r="D187" s="17">
        <f ca="1"/>
        <v>689862.24038872728</v>
      </c>
      <c r="E187" s="17">
        <f ca="1"/>
        <v>7567403.1761533776</v>
      </c>
      <c r="F187">
        <f ca="1"/>
        <v>353.08801879882799</v>
      </c>
      <c r="G187">
        <f ca="1"/>
        <v>0</v>
      </c>
      <c r="H187">
        <f ca="1"/>
        <v>0</v>
      </c>
      <c r="I187" t="str">
        <f ca="1"/>
        <v>MIN NO MERGE</v>
      </c>
      <c r="J187">
        <f ca="1"/>
        <v>24</v>
      </c>
      <c r="K187" t="str">
        <f ca="1"/>
        <v>R-6</v>
      </c>
      <c r="L187" t="str">
        <f ca="1"/>
        <v>R-6</v>
      </c>
      <c r="M187">
        <f ca="1"/>
        <v>0</v>
      </c>
      <c r="N187">
        <f ca="1"/>
        <v>-0.71665051284015391</v>
      </c>
      <c r="O187">
        <f ca="1"/>
        <v>-0.71665051284015391</v>
      </c>
      <c r="P187">
        <f ca="1"/>
        <v>2.4249421407496383</v>
      </c>
      <c r="Q187">
        <f ca="1"/>
        <v>1.5707963267948966</v>
      </c>
      <c r="R187">
        <f ca="1"/>
        <v>689871.65609456401</v>
      </c>
      <c r="S187">
        <f ca="1"/>
        <v>7567415.6894776197</v>
      </c>
      <c r="T187">
        <f ca="1"/>
        <v>353.18801879882801</v>
      </c>
      <c r="U187">
        <f ca="1"/>
        <v>689871.65609456401</v>
      </c>
      <c r="V187">
        <f ca="1"/>
        <v>7567415.6894776197</v>
      </c>
      <c r="W187">
        <f ca="1"/>
        <v>353.18801879882801</v>
      </c>
      <c r="X187">
        <f ca="1"/>
        <v>689840.85410076904</v>
      </c>
      <c r="Y187">
        <f ca="1"/>
        <v>7567442.5229167296</v>
      </c>
      <c r="Z187">
        <f ca="1"/>
        <v>352.41442871093699</v>
      </c>
      <c r="AA187">
        <f ca="1"/>
        <v>14</v>
      </c>
      <c r="AB187">
        <f ca="1"/>
        <v>1.5</v>
      </c>
      <c r="AC187">
        <f ca="1"/>
        <v>31.24</v>
      </c>
      <c r="AD187">
        <f ca="1"/>
        <v>1.6</v>
      </c>
      <c r="AE187">
        <f ca="1"/>
        <v>31.24</v>
      </c>
    </row>
    <row r="188" spans="1:31" x14ac:dyDescent="0.25">
      <c r="A188">
        <f ca="1"/>
        <v>187</v>
      </c>
      <c r="B188">
        <f ca="1"/>
        <v>2</v>
      </c>
      <c r="C188">
        <f ca="1"/>
        <v>46</v>
      </c>
      <c r="D188" s="17">
        <f ca="1"/>
        <v>689882.76078304322</v>
      </c>
      <c r="E188" s="17">
        <f ca="1"/>
        <v>7567426.7314291587</v>
      </c>
      <c r="F188">
        <f ca="1"/>
        <v>353.08801879882799</v>
      </c>
      <c r="G188">
        <f ca="1"/>
        <v>0</v>
      </c>
      <c r="H188">
        <f ca="1"/>
        <v>0</v>
      </c>
      <c r="I188" t="str">
        <f ca="1"/>
        <v>MIN NO MERGE</v>
      </c>
      <c r="J188">
        <f ca="1"/>
        <v>24</v>
      </c>
      <c r="K188" t="str">
        <f ca="1"/>
        <v>R-6</v>
      </c>
      <c r="L188" t="str">
        <f ca="1"/>
        <v>R-6</v>
      </c>
      <c r="M188">
        <f ca="1"/>
        <v>0</v>
      </c>
      <c r="N188">
        <f ca="1"/>
        <v>-0.71665051284015391</v>
      </c>
      <c r="O188">
        <f ca="1"/>
        <v>-0.71665051284015391</v>
      </c>
      <c r="P188">
        <f ca="1"/>
        <v>2.4249421407496383</v>
      </c>
      <c r="Q188">
        <f ca="1"/>
        <v>1.5707963267948966</v>
      </c>
      <c r="R188">
        <f ca="1"/>
        <v>689871.65609456401</v>
      </c>
      <c r="S188">
        <f ca="1"/>
        <v>7567415.6894776197</v>
      </c>
      <c r="T188">
        <f ca="1"/>
        <v>353.18801879882801</v>
      </c>
      <c r="U188">
        <f ca="1"/>
        <v>689871.65609456401</v>
      </c>
      <c r="V188">
        <f ca="1"/>
        <v>7567415.6894776197</v>
      </c>
      <c r="W188">
        <f ca="1"/>
        <v>353.18801879882801</v>
      </c>
      <c r="X188">
        <f ca="1"/>
        <v>689840.85410076904</v>
      </c>
      <c r="Y188">
        <f ca="1"/>
        <v>7567442.5229167296</v>
      </c>
      <c r="Z188">
        <f ca="1"/>
        <v>352.41442871093699</v>
      </c>
      <c r="AA188">
        <f ca="1"/>
        <v>14</v>
      </c>
      <c r="AB188">
        <f ca="1"/>
        <v>1.5</v>
      </c>
      <c r="AC188">
        <f ca="1"/>
        <v>31.24</v>
      </c>
      <c r="AD188">
        <f ca="1"/>
        <v>1.6</v>
      </c>
      <c r="AE188">
        <f ca="1"/>
        <v>31.24</v>
      </c>
    </row>
    <row r="189" spans="1:31" x14ac:dyDescent="0.25">
      <c r="A189">
        <f ca="1"/>
        <v>188</v>
      </c>
      <c r="B189">
        <f ca="1"/>
        <v>3</v>
      </c>
      <c r="C189">
        <f ca="1"/>
        <v>46</v>
      </c>
      <c r="D189" s="17">
        <f ca="1"/>
        <v>689881.55436687008</v>
      </c>
      <c r="E189" s="17">
        <f ca="1"/>
        <v>7567427.7824096614</v>
      </c>
      <c r="F189">
        <f ca="1"/>
        <v>353.08801879882799</v>
      </c>
      <c r="G189">
        <f ca="1"/>
        <v>0</v>
      </c>
      <c r="H189">
        <f ca="1"/>
        <v>0</v>
      </c>
      <c r="I189" t="str">
        <f ca="1"/>
        <v>MIN NO MERGE</v>
      </c>
      <c r="J189">
        <f ca="1"/>
        <v>24</v>
      </c>
      <c r="K189" t="str">
        <f ca="1"/>
        <v>R-6</v>
      </c>
      <c r="L189" t="str">
        <f ca="1"/>
        <v>R-6</v>
      </c>
      <c r="M189">
        <f ca="1"/>
        <v>0</v>
      </c>
      <c r="N189">
        <f ca="1"/>
        <v>-0.71665051284015391</v>
      </c>
      <c r="O189">
        <f ca="1"/>
        <v>-0.71665051284015391</v>
      </c>
      <c r="P189">
        <f ca="1"/>
        <v>2.4249421407496383</v>
      </c>
      <c r="Q189">
        <f ca="1"/>
        <v>1.5707963267948966</v>
      </c>
      <c r="R189">
        <f ca="1"/>
        <v>689871.65609456401</v>
      </c>
      <c r="S189">
        <f ca="1"/>
        <v>7567415.6894776197</v>
      </c>
      <c r="T189">
        <f ca="1"/>
        <v>353.18801879882801</v>
      </c>
      <c r="U189">
        <f ca="1"/>
        <v>689871.65609456401</v>
      </c>
      <c r="V189">
        <f ca="1"/>
        <v>7567415.6894776197</v>
      </c>
      <c r="W189">
        <f ca="1"/>
        <v>353.18801879882801</v>
      </c>
      <c r="X189">
        <f ca="1"/>
        <v>689840.85410076904</v>
      </c>
      <c r="Y189">
        <f ca="1"/>
        <v>7567442.5229167296</v>
      </c>
      <c r="Z189">
        <f ca="1"/>
        <v>352.41442871093699</v>
      </c>
      <c r="AA189">
        <f ca="1"/>
        <v>14</v>
      </c>
      <c r="AB189">
        <f ca="1"/>
        <v>1.5</v>
      </c>
      <c r="AC189">
        <f ca="1"/>
        <v>31.24</v>
      </c>
      <c r="AD189">
        <f ca="1"/>
        <v>1.6</v>
      </c>
      <c r="AE189">
        <f ca="1"/>
        <v>31.24</v>
      </c>
    </row>
    <row r="190" spans="1:31" x14ac:dyDescent="0.25">
      <c r="A190">
        <f ca="1"/>
        <v>189</v>
      </c>
      <c r="B190">
        <f ca="1"/>
        <v>0</v>
      </c>
      <c r="C190">
        <f ca="1"/>
        <v>47</v>
      </c>
      <c r="D190" s="17">
        <f ca="1"/>
        <v>689851.4762227789</v>
      </c>
      <c r="E190" s="17">
        <f ca="1"/>
        <v>7567453.9852604689</v>
      </c>
      <c r="F190">
        <f ca="1"/>
        <v>352.31442871093697</v>
      </c>
      <c r="G190">
        <f ca="1"/>
        <v>0</v>
      </c>
      <c r="H190">
        <f ca="1"/>
        <v>0</v>
      </c>
      <c r="I190" t="str">
        <f ca="1"/>
        <v>MIN NO MERGE</v>
      </c>
      <c r="J190">
        <f ca="1"/>
        <v>24</v>
      </c>
      <c r="K190" t="str">
        <f ca="1"/>
        <v>R-6</v>
      </c>
      <c r="L190" t="str">
        <f ca="1"/>
        <v>R-6</v>
      </c>
      <c r="M190">
        <f ca="1"/>
        <v>1</v>
      </c>
      <c r="N190">
        <f ca="1"/>
        <v>2.4249421407496383</v>
      </c>
      <c r="O190">
        <f ca="1"/>
        <v>2.4249421407496383</v>
      </c>
      <c r="P190">
        <f ca="1"/>
        <v>2.4249421407496383</v>
      </c>
      <c r="Q190">
        <f ca="1"/>
        <v>1.5707963267948966</v>
      </c>
      <c r="R190">
        <f ca="1"/>
        <v>689840.85410076904</v>
      </c>
      <c r="S190">
        <f ca="1"/>
        <v>7567442.5229167296</v>
      </c>
      <c r="T190">
        <f ca="1"/>
        <v>352.41442871093699</v>
      </c>
      <c r="U190">
        <f ca="1"/>
        <v>689871.65609456401</v>
      </c>
      <c r="V190">
        <f ca="1"/>
        <v>7567415.6894776197</v>
      </c>
      <c r="W190">
        <f ca="1"/>
        <v>353.18801879882801</v>
      </c>
      <c r="X190">
        <f ca="1"/>
        <v>689840.85410076904</v>
      </c>
      <c r="Y190">
        <f ca="1"/>
        <v>7567442.5229167296</v>
      </c>
      <c r="Z190">
        <f ca="1"/>
        <v>352.41442871093699</v>
      </c>
      <c r="AA190">
        <f ca="1"/>
        <v>14</v>
      </c>
      <c r="AB190">
        <f ca="1"/>
        <v>1.5</v>
      </c>
      <c r="AC190">
        <f ca="1"/>
        <v>31.24</v>
      </c>
      <c r="AD190">
        <f ca="1"/>
        <v>1.6</v>
      </c>
      <c r="AE190">
        <f ca="1"/>
        <v>31.24</v>
      </c>
    </row>
    <row r="191" spans="1:31" x14ac:dyDescent="0.25">
      <c r="A191">
        <f ca="1"/>
        <v>190</v>
      </c>
      <c r="B191">
        <f ca="1"/>
        <v>1</v>
      </c>
      <c r="C191">
        <f ca="1"/>
        <v>47</v>
      </c>
      <c r="D191" s="17">
        <f ca="1"/>
        <v>689850.26980660576</v>
      </c>
      <c r="E191" s="17">
        <f ca="1"/>
        <v>7567455.0362409716</v>
      </c>
      <c r="F191">
        <f ca="1"/>
        <v>352.31442871093697</v>
      </c>
      <c r="G191">
        <f ca="1"/>
        <v>0</v>
      </c>
      <c r="H191">
        <f ca="1"/>
        <v>0</v>
      </c>
      <c r="I191" t="str">
        <f ca="1"/>
        <v>MIN NO MERGE</v>
      </c>
      <c r="J191">
        <f ca="1"/>
        <v>24</v>
      </c>
      <c r="K191" t="str">
        <f ca="1"/>
        <v>R-6</v>
      </c>
      <c r="L191" t="str">
        <f ca="1"/>
        <v>R-6</v>
      </c>
      <c r="M191">
        <f ca="1"/>
        <v>1</v>
      </c>
      <c r="N191">
        <f ca="1"/>
        <v>2.4249421407496383</v>
      </c>
      <c r="O191">
        <f ca="1"/>
        <v>2.4249421407496383</v>
      </c>
      <c r="P191">
        <f ca="1"/>
        <v>2.4249421407496383</v>
      </c>
      <c r="Q191">
        <f ca="1"/>
        <v>1.5707963267948966</v>
      </c>
      <c r="R191">
        <f ca="1"/>
        <v>689840.85410076904</v>
      </c>
      <c r="S191">
        <f ca="1"/>
        <v>7567442.5229167296</v>
      </c>
      <c r="T191">
        <f ca="1"/>
        <v>352.41442871093699</v>
      </c>
      <c r="U191">
        <f ca="1"/>
        <v>689871.65609456401</v>
      </c>
      <c r="V191">
        <f ca="1"/>
        <v>7567415.6894776197</v>
      </c>
      <c r="W191">
        <f ca="1"/>
        <v>353.18801879882801</v>
      </c>
      <c r="X191">
        <f ca="1"/>
        <v>689840.85410076904</v>
      </c>
      <c r="Y191">
        <f ca="1"/>
        <v>7567442.5229167296</v>
      </c>
      <c r="Z191">
        <f ca="1"/>
        <v>352.41442871093699</v>
      </c>
      <c r="AA191">
        <f ca="1"/>
        <v>14</v>
      </c>
      <c r="AB191">
        <f ca="1"/>
        <v>1.5</v>
      </c>
      <c r="AC191">
        <f ca="1"/>
        <v>31.24</v>
      </c>
      <c r="AD191">
        <f ca="1"/>
        <v>1.6</v>
      </c>
      <c r="AE191">
        <f ca="1"/>
        <v>31.24</v>
      </c>
    </row>
    <row r="192" spans="1:31" x14ac:dyDescent="0.25">
      <c r="A192">
        <f ca="1"/>
        <v>191</v>
      </c>
      <c r="B192">
        <f ca="1"/>
        <v>2</v>
      </c>
      <c r="C192">
        <f ca="1"/>
        <v>47</v>
      </c>
      <c r="D192" s="17">
        <f ca="1"/>
        <v>689829.74941228982</v>
      </c>
      <c r="E192" s="17">
        <f ca="1"/>
        <v>7567431.4809651906</v>
      </c>
      <c r="F192">
        <f ca="1"/>
        <v>352.31442871093697</v>
      </c>
      <c r="G192">
        <f ca="1"/>
        <v>0</v>
      </c>
      <c r="H192">
        <f ca="1"/>
        <v>0</v>
      </c>
      <c r="I192" t="str">
        <f ca="1"/>
        <v>MIN NO MERGE</v>
      </c>
      <c r="J192">
        <f ca="1"/>
        <v>24</v>
      </c>
      <c r="K192" t="str">
        <f ca="1"/>
        <v>R-6</v>
      </c>
      <c r="L192" t="str">
        <f ca="1"/>
        <v>R-6</v>
      </c>
      <c r="M192">
        <f ca="1"/>
        <v>1</v>
      </c>
      <c r="N192">
        <f ca="1"/>
        <v>2.4249421407496383</v>
      </c>
      <c r="O192">
        <f ca="1"/>
        <v>2.4249421407496383</v>
      </c>
      <c r="P192">
        <f ca="1"/>
        <v>2.4249421407496383</v>
      </c>
      <c r="Q192">
        <f ca="1"/>
        <v>1.5707963267948966</v>
      </c>
      <c r="R192">
        <f ca="1"/>
        <v>689840.85410076904</v>
      </c>
      <c r="S192">
        <f ca="1"/>
        <v>7567442.5229167296</v>
      </c>
      <c r="T192">
        <f ca="1"/>
        <v>352.41442871093699</v>
      </c>
      <c r="U192">
        <f ca="1"/>
        <v>689871.65609456401</v>
      </c>
      <c r="V192">
        <f ca="1"/>
        <v>7567415.6894776197</v>
      </c>
      <c r="W192">
        <f ca="1"/>
        <v>353.18801879882801</v>
      </c>
      <c r="X192">
        <f ca="1"/>
        <v>689840.85410076904</v>
      </c>
      <c r="Y192">
        <f ca="1"/>
        <v>7567442.5229167296</v>
      </c>
      <c r="Z192">
        <f ca="1"/>
        <v>352.41442871093699</v>
      </c>
      <c r="AA192">
        <f ca="1"/>
        <v>14</v>
      </c>
      <c r="AB192">
        <f ca="1"/>
        <v>1.5</v>
      </c>
      <c r="AC192">
        <f ca="1"/>
        <v>31.24</v>
      </c>
      <c r="AD192">
        <f ca="1"/>
        <v>1.6</v>
      </c>
      <c r="AE192">
        <f ca="1"/>
        <v>31.24</v>
      </c>
    </row>
    <row r="193" spans="1:31" x14ac:dyDescent="0.25">
      <c r="A193">
        <f ca="1"/>
        <v>192</v>
      </c>
      <c r="B193">
        <f ca="1"/>
        <v>3</v>
      </c>
      <c r="C193">
        <f ca="1"/>
        <v>47</v>
      </c>
      <c r="D193" s="17">
        <f ca="1"/>
        <v>689830.95582846296</v>
      </c>
      <c r="E193" s="17">
        <f ca="1"/>
        <v>7567430.4299846878</v>
      </c>
      <c r="F193">
        <f ca="1"/>
        <v>352.31442871093697</v>
      </c>
      <c r="G193">
        <f ca="1"/>
        <v>0</v>
      </c>
      <c r="H193">
        <f ca="1"/>
        <v>0</v>
      </c>
      <c r="I193" t="str">
        <f ca="1"/>
        <v>MIN NO MERGE</v>
      </c>
      <c r="J193">
        <f ca="1"/>
        <v>24</v>
      </c>
      <c r="K193" t="str">
        <f ca="1"/>
        <v>R-6</v>
      </c>
      <c r="L193" t="str">
        <f ca="1"/>
        <v>R-6</v>
      </c>
      <c r="M193">
        <f ca="1"/>
        <v>1</v>
      </c>
      <c r="N193">
        <f ca="1"/>
        <v>2.4249421407496383</v>
      </c>
      <c r="O193">
        <f ca="1"/>
        <v>2.4249421407496383</v>
      </c>
      <c r="P193">
        <f ca="1"/>
        <v>2.4249421407496383</v>
      </c>
      <c r="Q193">
        <f ca="1"/>
        <v>1.5707963267948966</v>
      </c>
      <c r="R193">
        <f ca="1"/>
        <v>689840.85410076904</v>
      </c>
      <c r="S193">
        <f ca="1"/>
        <v>7567442.5229167296</v>
      </c>
      <c r="T193">
        <f ca="1"/>
        <v>352.41442871093699</v>
      </c>
      <c r="U193">
        <f ca="1"/>
        <v>689871.65609456401</v>
      </c>
      <c r="V193">
        <f ca="1"/>
        <v>7567415.6894776197</v>
      </c>
      <c r="W193">
        <f ca="1"/>
        <v>353.18801879882801</v>
      </c>
      <c r="X193">
        <f ca="1"/>
        <v>689840.85410076904</v>
      </c>
      <c r="Y193">
        <f ca="1"/>
        <v>7567442.5229167296</v>
      </c>
      <c r="Z193">
        <f ca="1"/>
        <v>352.41442871093699</v>
      </c>
      <c r="AA193">
        <f ca="1"/>
        <v>14</v>
      </c>
      <c r="AB193">
        <f ca="1"/>
        <v>1.5</v>
      </c>
      <c r="AC193">
        <f ca="1"/>
        <v>31.24</v>
      </c>
      <c r="AD193">
        <f ca="1"/>
        <v>1.6</v>
      </c>
      <c r="AE193">
        <f ca="1"/>
        <v>31.24</v>
      </c>
    </row>
    <row r="194" spans="1:31" x14ac:dyDescent="0.25">
      <c r="A194">
        <f ca="1"/>
        <v>193</v>
      </c>
      <c r="B194">
        <f ca="1"/>
        <v>0</v>
      </c>
      <c r="C194">
        <f ca="1"/>
        <v>48</v>
      </c>
      <c r="D194" s="17">
        <f ca="1"/>
        <v>689631.02622143773</v>
      </c>
      <c r="E194" s="17">
        <f ca="1"/>
        <v>7567168.5129583282</v>
      </c>
      <c r="F194">
        <f ca="1"/>
        <v>356.12253417968697</v>
      </c>
      <c r="G194">
        <f ca="1"/>
        <v>0</v>
      </c>
      <c r="H194">
        <f ca="1"/>
        <v>0</v>
      </c>
      <c r="I194" t="str">
        <f ca="1"/>
        <v>MIN NO MERGE</v>
      </c>
      <c r="J194">
        <f ca="1"/>
        <v>25</v>
      </c>
      <c r="K194" t="str">
        <f ca="1"/>
        <v>R-6b</v>
      </c>
      <c r="L194" t="str">
        <f ca="1"/>
        <v>R-6b</v>
      </c>
      <c r="M194">
        <f ca="1"/>
        <v>0</v>
      </c>
      <c r="N194">
        <f ca="1"/>
        <v>-1.5996507950157222</v>
      </c>
      <c r="O194">
        <f ca="1"/>
        <v>-1.5996507950157222</v>
      </c>
      <c r="P194">
        <f ca="1"/>
        <v>1.541941858574071</v>
      </c>
      <c r="Q194">
        <f ca="1"/>
        <v>1.5707963267948966</v>
      </c>
      <c r="R194">
        <f ca="1"/>
        <v>689632.59171552199</v>
      </c>
      <c r="S194">
        <f ca="1"/>
        <v>7567167.9875744004</v>
      </c>
      <c r="T194">
        <f ca="1"/>
        <v>356.22253417968699</v>
      </c>
      <c r="U194">
        <f ca="1"/>
        <v>689632.59171552199</v>
      </c>
      <c r="V194">
        <f ca="1"/>
        <v>7567167.9875744004</v>
      </c>
      <c r="W194">
        <f ca="1"/>
        <v>356.22253417968699</v>
      </c>
      <c r="X194">
        <f ca="1"/>
        <v>689634.17061779206</v>
      </c>
      <c r="Y194">
        <f ca="1"/>
        <v>7567222.6918942304</v>
      </c>
      <c r="Z194">
        <f ca="1"/>
        <v>355.70806884765602</v>
      </c>
      <c r="AA194">
        <f ca="1"/>
        <v>1</v>
      </c>
      <c r="AB194">
        <f ca="1"/>
        <v>1.5</v>
      </c>
      <c r="AC194">
        <f ca="1"/>
        <v>3.16</v>
      </c>
      <c r="AD194">
        <f ca="1"/>
        <v>1.6</v>
      </c>
      <c r="AE194">
        <f ca="1"/>
        <v>3.16</v>
      </c>
    </row>
    <row r="195" spans="1:31" x14ac:dyDescent="0.25">
      <c r="A195">
        <f ca="1"/>
        <v>194</v>
      </c>
      <c r="B195">
        <f ca="1"/>
        <v>1</v>
      </c>
      <c r="C195">
        <f ca="1"/>
        <v>48</v>
      </c>
      <c r="D195" s="17">
        <f ca="1"/>
        <v>689630.98006069462</v>
      </c>
      <c r="E195" s="17">
        <f ca="1"/>
        <v>7567166.9136243463</v>
      </c>
      <c r="F195">
        <f ca="1"/>
        <v>356.12253417968697</v>
      </c>
      <c r="G195">
        <f ca="1"/>
        <v>0</v>
      </c>
      <c r="H195">
        <f ca="1"/>
        <v>0</v>
      </c>
      <c r="I195" t="str">
        <f ca="1"/>
        <v>MIN NO MERGE</v>
      </c>
      <c r="J195">
        <f ca="1"/>
        <v>25</v>
      </c>
      <c r="K195" t="str">
        <f ca="1"/>
        <v>R-6b</v>
      </c>
      <c r="L195" t="str">
        <f ca="1"/>
        <v>R-6b</v>
      </c>
      <c r="M195">
        <f ca="1"/>
        <v>0</v>
      </c>
      <c r="N195">
        <f ca="1"/>
        <v>-1.5996507950157222</v>
      </c>
      <c r="O195">
        <f ca="1"/>
        <v>-1.5996507950157222</v>
      </c>
      <c r="P195">
        <f ca="1"/>
        <v>1.541941858574071</v>
      </c>
      <c r="Q195">
        <f ca="1"/>
        <v>1.5707963267948966</v>
      </c>
      <c r="R195">
        <f ca="1"/>
        <v>689632.59171552199</v>
      </c>
      <c r="S195">
        <f ca="1"/>
        <v>7567167.9875744004</v>
      </c>
      <c r="T195">
        <f ca="1"/>
        <v>356.22253417968699</v>
      </c>
      <c r="U195">
        <f ca="1"/>
        <v>689632.59171552199</v>
      </c>
      <c r="V195">
        <f ca="1"/>
        <v>7567167.9875744004</v>
      </c>
      <c r="W195">
        <f ca="1"/>
        <v>356.22253417968699</v>
      </c>
      <c r="X195">
        <f ca="1"/>
        <v>689634.17061779206</v>
      </c>
      <c r="Y195">
        <f ca="1"/>
        <v>7567222.6918942304</v>
      </c>
      <c r="Z195">
        <f ca="1"/>
        <v>355.70806884765602</v>
      </c>
      <c r="AA195">
        <f ca="1"/>
        <v>1</v>
      </c>
      <c r="AB195">
        <f ca="1"/>
        <v>1.5</v>
      </c>
      <c r="AC195">
        <f ca="1"/>
        <v>3.16</v>
      </c>
      <c r="AD195">
        <f ca="1"/>
        <v>1.6</v>
      </c>
      <c r="AE195">
        <f ca="1"/>
        <v>3.16</v>
      </c>
    </row>
    <row r="196" spans="1:31" x14ac:dyDescent="0.25">
      <c r="A196">
        <f ca="1"/>
        <v>195</v>
      </c>
      <c r="B196">
        <f ca="1"/>
        <v>2</v>
      </c>
      <c r="C196">
        <f ca="1"/>
        <v>48</v>
      </c>
      <c r="D196" s="17">
        <f ca="1"/>
        <v>689634.13874530897</v>
      </c>
      <c r="E196" s="17">
        <f ca="1"/>
        <v>7567166.8224568795</v>
      </c>
      <c r="F196">
        <f ca="1"/>
        <v>356.12253417968697</v>
      </c>
      <c r="G196">
        <f ca="1"/>
        <v>0</v>
      </c>
      <c r="H196">
        <f ca="1"/>
        <v>0</v>
      </c>
      <c r="I196" t="str">
        <f ca="1"/>
        <v>MIN NO MERGE</v>
      </c>
      <c r="J196">
        <f ca="1"/>
        <v>25</v>
      </c>
      <c r="K196" t="str">
        <f ca="1"/>
        <v>R-6b</v>
      </c>
      <c r="L196" t="str">
        <f ca="1"/>
        <v>R-6b</v>
      </c>
      <c r="M196">
        <f ca="1"/>
        <v>0</v>
      </c>
      <c r="N196">
        <f ca="1"/>
        <v>-1.5996507950157222</v>
      </c>
      <c r="O196">
        <f ca="1"/>
        <v>-1.5996507950157222</v>
      </c>
      <c r="P196">
        <f ca="1"/>
        <v>1.541941858574071</v>
      </c>
      <c r="Q196">
        <f ca="1"/>
        <v>1.5707963267948966</v>
      </c>
      <c r="R196">
        <f ca="1"/>
        <v>689632.59171552199</v>
      </c>
      <c r="S196">
        <f ca="1"/>
        <v>7567167.9875744004</v>
      </c>
      <c r="T196">
        <f ca="1"/>
        <v>356.22253417968699</v>
      </c>
      <c r="U196">
        <f ca="1"/>
        <v>689632.59171552199</v>
      </c>
      <c r="V196">
        <f ca="1"/>
        <v>7567167.9875744004</v>
      </c>
      <c r="W196">
        <f ca="1"/>
        <v>356.22253417968699</v>
      </c>
      <c r="X196">
        <f ca="1"/>
        <v>689634.17061779206</v>
      </c>
      <c r="Y196">
        <f ca="1"/>
        <v>7567222.6918942304</v>
      </c>
      <c r="Z196">
        <f ca="1"/>
        <v>355.70806884765602</v>
      </c>
      <c r="AA196">
        <f ca="1"/>
        <v>1</v>
      </c>
      <c r="AB196">
        <f ca="1"/>
        <v>1.5</v>
      </c>
      <c r="AC196">
        <f ca="1"/>
        <v>3.16</v>
      </c>
      <c r="AD196">
        <f ca="1"/>
        <v>1.6</v>
      </c>
      <c r="AE196">
        <f ca="1"/>
        <v>3.16</v>
      </c>
    </row>
    <row r="197" spans="1:31" x14ac:dyDescent="0.25">
      <c r="A197">
        <f ca="1"/>
        <v>196</v>
      </c>
      <c r="B197">
        <f ca="1"/>
        <v>3</v>
      </c>
      <c r="C197">
        <f ca="1"/>
        <v>48</v>
      </c>
      <c r="D197" s="17">
        <f ca="1"/>
        <v>689634.18490605208</v>
      </c>
      <c r="E197" s="17">
        <f ca="1"/>
        <v>7567168.4217908615</v>
      </c>
      <c r="F197">
        <f ca="1"/>
        <v>356.12253417968697</v>
      </c>
      <c r="G197">
        <f ca="1"/>
        <v>0</v>
      </c>
      <c r="H197">
        <f ca="1"/>
        <v>0</v>
      </c>
      <c r="I197" t="str">
        <f ca="1"/>
        <v>MIN NO MERGE</v>
      </c>
      <c r="J197">
        <f ca="1"/>
        <v>25</v>
      </c>
      <c r="K197" t="str">
        <f ca="1"/>
        <v>R-6b</v>
      </c>
      <c r="L197" t="str">
        <f ca="1"/>
        <v>R-6b</v>
      </c>
      <c r="M197">
        <f ca="1"/>
        <v>0</v>
      </c>
      <c r="N197">
        <f ca="1"/>
        <v>-1.5996507950157222</v>
      </c>
      <c r="O197">
        <f ca="1"/>
        <v>-1.5996507950157222</v>
      </c>
      <c r="P197">
        <f ca="1"/>
        <v>1.541941858574071</v>
      </c>
      <c r="Q197">
        <f ca="1"/>
        <v>1.5707963267948966</v>
      </c>
      <c r="R197">
        <f ca="1"/>
        <v>689632.59171552199</v>
      </c>
      <c r="S197">
        <f ca="1"/>
        <v>7567167.9875744004</v>
      </c>
      <c r="T197">
        <f ca="1"/>
        <v>356.22253417968699</v>
      </c>
      <c r="U197">
        <f ca="1"/>
        <v>689632.59171552199</v>
      </c>
      <c r="V197">
        <f ca="1"/>
        <v>7567167.9875744004</v>
      </c>
      <c r="W197">
        <f ca="1"/>
        <v>356.22253417968699</v>
      </c>
      <c r="X197">
        <f ca="1"/>
        <v>689634.17061779206</v>
      </c>
      <c r="Y197">
        <f ca="1"/>
        <v>7567222.6918942304</v>
      </c>
      <c r="Z197">
        <f ca="1"/>
        <v>355.70806884765602</v>
      </c>
      <c r="AA197">
        <f ca="1"/>
        <v>1</v>
      </c>
      <c r="AB197">
        <f ca="1"/>
        <v>1.5</v>
      </c>
      <c r="AC197">
        <f ca="1"/>
        <v>3.16</v>
      </c>
      <c r="AD197">
        <f ca="1"/>
        <v>1.6</v>
      </c>
      <c r="AE197">
        <f ca="1"/>
        <v>3.16</v>
      </c>
    </row>
    <row r="198" spans="1:31" x14ac:dyDescent="0.25">
      <c r="A198">
        <f ca="1"/>
        <v>197</v>
      </c>
      <c r="B198">
        <f ca="1"/>
        <v>0</v>
      </c>
      <c r="C198">
        <f ca="1"/>
        <v>49</v>
      </c>
      <c r="D198" s="17">
        <f ca="1"/>
        <v>689635.73611187632</v>
      </c>
      <c r="E198" s="17">
        <f ca="1"/>
        <v>7567222.1665103026</v>
      </c>
      <c r="F198">
        <f ca="1"/>
        <v>355.608068847656</v>
      </c>
      <c r="G198">
        <f ca="1"/>
        <v>0</v>
      </c>
      <c r="H198">
        <f ca="1"/>
        <v>0</v>
      </c>
      <c r="I198" t="str">
        <f ca="1"/>
        <v>MIN NO MERGE</v>
      </c>
      <c r="J198">
        <f ca="1"/>
        <v>25</v>
      </c>
      <c r="K198" t="str">
        <f ca="1"/>
        <v>R-6b</v>
      </c>
      <c r="L198" t="str">
        <f ca="1"/>
        <v>R-6b</v>
      </c>
      <c r="M198">
        <f ca="1"/>
        <v>1</v>
      </c>
      <c r="N198">
        <f ca="1"/>
        <v>1.541941858574071</v>
      </c>
      <c r="O198">
        <f ca="1"/>
        <v>1.541941858574071</v>
      </c>
      <c r="P198">
        <f ca="1"/>
        <v>1.541941858574071</v>
      </c>
      <c r="Q198">
        <f ca="1"/>
        <v>1.5707963267948966</v>
      </c>
      <c r="R198">
        <f ca="1"/>
        <v>689634.17061779206</v>
      </c>
      <c r="S198">
        <f ca="1"/>
        <v>7567222.6918942304</v>
      </c>
      <c r="T198">
        <f ca="1"/>
        <v>355.70806884765602</v>
      </c>
      <c r="U198">
        <f ca="1"/>
        <v>689632.59171552199</v>
      </c>
      <c r="V198">
        <f ca="1"/>
        <v>7567167.9875744004</v>
      </c>
      <c r="W198">
        <f ca="1"/>
        <v>356.22253417968699</v>
      </c>
      <c r="X198">
        <f ca="1"/>
        <v>689634.17061779206</v>
      </c>
      <c r="Y198">
        <f ca="1"/>
        <v>7567222.6918942304</v>
      </c>
      <c r="Z198">
        <f ca="1"/>
        <v>355.70806884765602</v>
      </c>
      <c r="AA198">
        <f ca="1"/>
        <v>1</v>
      </c>
      <c r="AB198">
        <f ca="1"/>
        <v>1.5</v>
      </c>
      <c r="AC198">
        <f ca="1"/>
        <v>3.16</v>
      </c>
      <c r="AD198">
        <f ca="1"/>
        <v>1.6</v>
      </c>
      <c r="AE198">
        <f ca="1"/>
        <v>3.16</v>
      </c>
    </row>
    <row r="199" spans="1:31" x14ac:dyDescent="0.25">
      <c r="A199">
        <f ca="1"/>
        <v>198</v>
      </c>
      <c r="B199">
        <f ca="1"/>
        <v>1</v>
      </c>
      <c r="C199">
        <f ca="1"/>
        <v>49</v>
      </c>
      <c r="D199" s="17">
        <f ca="1"/>
        <v>689635.78227261943</v>
      </c>
      <c r="E199" s="17">
        <f ca="1"/>
        <v>7567223.7658442846</v>
      </c>
      <c r="F199">
        <f ca="1"/>
        <v>355.608068847656</v>
      </c>
      <c r="G199">
        <f ca="1"/>
        <v>0</v>
      </c>
      <c r="H199">
        <f ca="1"/>
        <v>0</v>
      </c>
      <c r="I199" t="str">
        <f ca="1"/>
        <v>MIN NO MERGE</v>
      </c>
      <c r="J199">
        <f ca="1"/>
        <v>25</v>
      </c>
      <c r="K199" t="str">
        <f ca="1"/>
        <v>R-6b</v>
      </c>
      <c r="L199" t="str">
        <f ca="1"/>
        <v>R-6b</v>
      </c>
      <c r="M199">
        <f ca="1"/>
        <v>1</v>
      </c>
      <c r="N199">
        <f ca="1"/>
        <v>1.541941858574071</v>
      </c>
      <c r="O199">
        <f ca="1"/>
        <v>1.541941858574071</v>
      </c>
      <c r="P199">
        <f ca="1"/>
        <v>1.541941858574071</v>
      </c>
      <c r="Q199">
        <f ca="1"/>
        <v>1.5707963267948966</v>
      </c>
      <c r="R199">
        <f ca="1"/>
        <v>689634.17061779206</v>
      </c>
      <c r="S199">
        <f ca="1"/>
        <v>7567222.6918942304</v>
      </c>
      <c r="T199">
        <f ca="1"/>
        <v>355.70806884765602</v>
      </c>
      <c r="U199">
        <f ca="1"/>
        <v>689632.59171552199</v>
      </c>
      <c r="V199">
        <f ca="1"/>
        <v>7567167.9875744004</v>
      </c>
      <c r="W199">
        <f ca="1"/>
        <v>356.22253417968699</v>
      </c>
      <c r="X199">
        <f ca="1"/>
        <v>689634.17061779206</v>
      </c>
      <c r="Y199">
        <f ca="1"/>
        <v>7567222.6918942304</v>
      </c>
      <c r="Z199">
        <f ca="1"/>
        <v>355.70806884765602</v>
      </c>
      <c r="AA199">
        <f ca="1"/>
        <v>1</v>
      </c>
      <c r="AB199">
        <f ca="1"/>
        <v>1.5</v>
      </c>
      <c r="AC199">
        <f ca="1"/>
        <v>3.16</v>
      </c>
      <c r="AD199">
        <f ca="1"/>
        <v>1.6</v>
      </c>
      <c r="AE199">
        <f ca="1"/>
        <v>3.16</v>
      </c>
    </row>
    <row r="200" spans="1:31" x14ac:dyDescent="0.25">
      <c r="A200">
        <f ca="1"/>
        <v>199</v>
      </c>
      <c r="B200">
        <f ca="1"/>
        <v>2</v>
      </c>
      <c r="C200">
        <f ca="1"/>
        <v>49</v>
      </c>
      <c r="D200" s="17">
        <f ca="1"/>
        <v>689632.62358800508</v>
      </c>
      <c r="E200" s="17">
        <f ca="1"/>
        <v>7567223.8570117513</v>
      </c>
      <c r="F200">
        <f ca="1"/>
        <v>355.608068847656</v>
      </c>
      <c r="G200">
        <f ca="1"/>
        <v>0</v>
      </c>
      <c r="H200">
        <f ca="1"/>
        <v>0</v>
      </c>
      <c r="I200" t="str">
        <f ca="1"/>
        <v>MIN NO MERGE</v>
      </c>
      <c r="J200">
        <f ca="1"/>
        <v>25</v>
      </c>
      <c r="K200" t="str">
        <f ca="1"/>
        <v>R-6b</v>
      </c>
      <c r="L200" t="str">
        <f ca="1"/>
        <v>R-6b</v>
      </c>
      <c r="M200">
        <f ca="1"/>
        <v>1</v>
      </c>
      <c r="N200">
        <f ca="1"/>
        <v>1.541941858574071</v>
      </c>
      <c r="O200">
        <f ca="1"/>
        <v>1.541941858574071</v>
      </c>
      <c r="P200">
        <f ca="1"/>
        <v>1.541941858574071</v>
      </c>
      <c r="Q200">
        <f ca="1"/>
        <v>1.5707963267948966</v>
      </c>
      <c r="R200">
        <f ca="1"/>
        <v>689634.17061779206</v>
      </c>
      <c r="S200">
        <f ca="1"/>
        <v>7567222.6918942304</v>
      </c>
      <c r="T200">
        <f ca="1"/>
        <v>355.70806884765602</v>
      </c>
      <c r="U200">
        <f ca="1"/>
        <v>689632.59171552199</v>
      </c>
      <c r="V200">
        <f ca="1"/>
        <v>7567167.9875744004</v>
      </c>
      <c r="W200">
        <f ca="1"/>
        <v>356.22253417968699</v>
      </c>
      <c r="X200">
        <f ca="1"/>
        <v>689634.17061779206</v>
      </c>
      <c r="Y200">
        <f ca="1"/>
        <v>7567222.6918942304</v>
      </c>
      <c r="Z200">
        <f ca="1"/>
        <v>355.70806884765602</v>
      </c>
      <c r="AA200">
        <f ca="1"/>
        <v>1</v>
      </c>
      <c r="AB200">
        <f ca="1"/>
        <v>1.5</v>
      </c>
      <c r="AC200">
        <f ca="1"/>
        <v>3.16</v>
      </c>
      <c r="AD200">
        <f ca="1"/>
        <v>1.6</v>
      </c>
      <c r="AE200">
        <f ca="1"/>
        <v>3.16</v>
      </c>
    </row>
    <row r="201" spans="1:31" x14ac:dyDescent="0.25">
      <c r="A201">
        <f ca="1"/>
        <v>200</v>
      </c>
      <c r="B201">
        <f ca="1"/>
        <v>3</v>
      </c>
      <c r="C201">
        <f ca="1"/>
        <v>49</v>
      </c>
      <c r="D201" s="17">
        <f ca="1"/>
        <v>689632.57742726197</v>
      </c>
      <c r="E201" s="17">
        <f ca="1"/>
        <v>7567222.2576777693</v>
      </c>
      <c r="F201">
        <f ca="1"/>
        <v>355.608068847656</v>
      </c>
      <c r="G201">
        <f ca="1"/>
        <v>0</v>
      </c>
      <c r="H201">
        <f ca="1"/>
        <v>0</v>
      </c>
      <c r="I201" t="str">
        <f ca="1"/>
        <v>MIN NO MERGE</v>
      </c>
      <c r="J201">
        <f ca="1"/>
        <v>25</v>
      </c>
      <c r="K201" t="str">
        <f ca="1"/>
        <v>R-6b</v>
      </c>
      <c r="L201" t="str">
        <f ca="1"/>
        <v>R-6b</v>
      </c>
      <c r="M201">
        <f ca="1"/>
        <v>1</v>
      </c>
      <c r="N201">
        <f ca="1"/>
        <v>1.541941858574071</v>
      </c>
      <c r="O201">
        <f ca="1"/>
        <v>1.541941858574071</v>
      </c>
      <c r="P201">
        <f ca="1"/>
        <v>1.541941858574071</v>
      </c>
      <c r="Q201">
        <f ca="1"/>
        <v>1.5707963267948966</v>
      </c>
      <c r="R201">
        <f ca="1"/>
        <v>689634.17061779206</v>
      </c>
      <c r="S201">
        <f ca="1"/>
        <v>7567222.6918942304</v>
      </c>
      <c r="T201">
        <f ca="1"/>
        <v>355.70806884765602</v>
      </c>
      <c r="U201">
        <f ca="1"/>
        <v>689632.59171552199</v>
      </c>
      <c r="V201">
        <f ca="1"/>
        <v>7567167.9875744004</v>
      </c>
      <c r="W201">
        <f ca="1"/>
        <v>356.22253417968699</v>
      </c>
      <c r="X201">
        <f ca="1"/>
        <v>689634.17061779206</v>
      </c>
      <c r="Y201">
        <f ca="1"/>
        <v>7567222.6918942304</v>
      </c>
      <c r="Z201">
        <f ca="1"/>
        <v>355.70806884765602</v>
      </c>
      <c r="AA201">
        <f ca="1"/>
        <v>1</v>
      </c>
      <c r="AB201">
        <f ca="1"/>
        <v>1.5</v>
      </c>
      <c r="AC201">
        <f ca="1"/>
        <v>3.16</v>
      </c>
      <c r="AD201">
        <f ca="1"/>
        <v>1.6</v>
      </c>
      <c r="AE201">
        <f ca="1"/>
        <v>3.16</v>
      </c>
    </row>
    <row r="202" spans="1:31" x14ac:dyDescent="0.25">
      <c r="A202">
        <f ca="1"/>
        <v>201</v>
      </c>
      <c r="B202">
        <f ca="1"/>
        <v>0</v>
      </c>
      <c r="C202">
        <f ca="1"/>
        <v>50</v>
      </c>
      <c r="D202" s="17">
        <f ca="1"/>
        <v>690761.50181942515</v>
      </c>
      <c r="E202" s="17">
        <f ca="1"/>
        <v>7568490.1424096404</v>
      </c>
      <c r="F202">
        <f ca="1"/>
        <v>352.069006347656</v>
      </c>
      <c r="G202">
        <f ca="1"/>
        <v>0</v>
      </c>
      <c r="H202">
        <f ca="1"/>
        <v>0</v>
      </c>
      <c r="I202" t="str">
        <f ca="1"/>
        <v>MIN NO MERGE</v>
      </c>
      <c r="J202">
        <f ca="1"/>
        <v>26</v>
      </c>
      <c r="K202" t="str">
        <f ca="1"/>
        <v>R-7</v>
      </c>
      <c r="L202" t="str">
        <f ca="1"/>
        <v>R-7</v>
      </c>
      <c r="M202">
        <f ca="1"/>
        <v>0</v>
      </c>
      <c r="N202">
        <f ca="1"/>
        <v>-0.85309118606238421</v>
      </c>
      <c r="O202">
        <f ca="1"/>
        <v>-0.85309118606238421</v>
      </c>
      <c r="P202">
        <f ca="1"/>
        <v>2.2885014675274089</v>
      </c>
      <c r="Q202">
        <f ca="1"/>
        <v>1.5707963267948966</v>
      </c>
      <c r="R202">
        <f ca="1"/>
        <v>690763.55012406595</v>
      </c>
      <c r="S202">
        <f ca="1"/>
        <v>7568491.2934301002</v>
      </c>
      <c r="T202">
        <f ca="1"/>
        <v>352.16900634765602</v>
      </c>
      <c r="U202">
        <f ca="1"/>
        <v>690763.55012406595</v>
      </c>
      <c r="V202">
        <f ca="1"/>
        <v>7568491.2934301002</v>
      </c>
      <c r="W202">
        <f ca="1"/>
        <v>352.16900634765602</v>
      </c>
      <c r="X202">
        <f ca="1"/>
        <v>690743.11727115698</v>
      </c>
      <c r="Y202">
        <f ca="1"/>
        <v>7568514.69833434</v>
      </c>
      <c r="Z202">
        <f ca="1"/>
        <v>351.81900024414</v>
      </c>
      <c r="AA202">
        <f ca="1"/>
        <v>2</v>
      </c>
      <c r="AB202">
        <f ca="1"/>
        <v>1.2</v>
      </c>
      <c r="AC202">
        <f ca="1"/>
        <v>4.5999999999999996</v>
      </c>
      <c r="AD202">
        <f ca="1"/>
        <v>1.6</v>
      </c>
      <c r="AE202">
        <f ca="1"/>
        <v>4.5999999999999996</v>
      </c>
    </row>
    <row r="203" spans="1:31" x14ac:dyDescent="0.25">
      <c r="A203">
        <f ca="1"/>
        <v>202</v>
      </c>
      <c r="B203">
        <f ca="1"/>
        <v>1</v>
      </c>
      <c r="C203">
        <f ca="1"/>
        <v>50</v>
      </c>
      <c r="D203" s="17">
        <f ca="1"/>
        <v>690762.5540716633</v>
      </c>
      <c r="E203" s="17">
        <f ca="1"/>
        <v>7568488.9371025311</v>
      </c>
      <c r="F203">
        <f ca="1"/>
        <v>352.069006347656</v>
      </c>
      <c r="G203">
        <f ca="1"/>
        <v>0</v>
      </c>
      <c r="H203">
        <f ca="1"/>
        <v>0</v>
      </c>
      <c r="I203" t="str">
        <f ca="1"/>
        <v>MIN NO MERGE</v>
      </c>
      <c r="J203">
        <f ca="1"/>
        <v>26</v>
      </c>
      <c r="K203" t="str">
        <f ca="1"/>
        <v>R-7</v>
      </c>
      <c r="L203" t="str">
        <f ca="1"/>
        <v>R-7</v>
      </c>
      <c r="M203">
        <f ca="1"/>
        <v>0</v>
      </c>
      <c r="N203">
        <f ca="1"/>
        <v>-0.85309118606238421</v>
      </c>
      <c r="O203">
        <f ca="1"/>
        <v>-0.85309118606238421</v>
      </c>
      <c r="P203">
        <f ca="1"/>
        <v>2.2885014675274089</v>
      </c>
      <c r="Q203">
        <f ca="1"/>
        <v>1.5707963267948966</v>
      </c>
      <c r="R203">
        <f ca="1"/>
        <v>690763.55012406595</v>
      </c>
      <c r="S203">
        <f ca="1"/>
        <v>7568491.2934301002</v>
      </c>
      <c r="T203">
        <f ca="1"/>
        <v>352.16900634765602</v>
      </c>
      <c r="U203">
        <f ca="1"/>
        <v>690763.55012406595</v>
      </c>
      <c r="V203">
        <f ca="1"/>
        <v>7568491.2934301002</v>
      </c>
      <c r="W203">
        <f ca="1"/>
        <v>352.16900634765602</v>
      </c>
      <c r="X203">
        <f ca="1"/>
        <v>690743.11727115698</v>
      </c>
      <c r="Y203">
        <f ca="1"/>
        <v>7568514.69833434</v>
      </c>
      <c r="Z203">
        <f ca="1"/>
        <v>351.81900024414</v>
      </c>
      <c r="AA203">
        <f ca="1"/>
        <v>2</v>
      </c>
      <c r="AB203">
        <f ca="1"/>
        <v>1.2</v>
      </c>
      <c r="AC203">
        <f ca="1"/>
        <v>4.5999999999999996</v>
      </c>
      <c r="AD203">
        <f ca="1"/>
        <v>1.6</v>
      </c>
      <c r="AE203">
        <f ca="1"/>
        <v>4.5999999999999996</v>
      </c>
    </row>
    <row r="204" spans="1:31" x14ac:dyDescent="0.25">
      <c r="A204">
        <f ca="1"/>
        <v>203</v>
      </c>
      <c r="B204">
        <f ca="1"/>
        <v>2</v>
      </c>
      <c r="C204">
        <f ca="1"/>
        <v>50</v>
      </c>
      <c r="D204" s="17">
        <f ca="1"/>
        <v>690766.01932960202</v>
      </c>
      <c r="E204" s="17">
        <f ca="1"/>
        <v>7568491.9623277159</v>
      </c>
      <c r="F204">
        <f ca="1"/>
        <v>352.069006347656</v>
      </c>
      <c r="G204">
        <f ca="1"/>
        <v>0</v>
      </c>
      <c r="H204">
        <f ca="1"/>
        <v>0</v>
      </c>
      <c r="I204" t="str">
        <f ca="1"/>
        <v>MIN NO MERGE</v>
      </c>
      <c r="J204">
        <f ca="1"/>
        <v>26</v>
      </c>
      <c r="K204" t="str">
        <f ca="1"/>
        <v>R-7</v>
      </c>
      <c r="L204" t="str">
        <f ca="1"/>
        <v>R-7</v>
      </c>
      <c r="M204">
        <f ca="1"/>
        <v>0</v>
      </c>
      <c r="N204">
        <f ca="1"/>
        <v>-0.85309118606238421</v>
      </c>
      <c r="O204">
        <f ca="1"/>
        <v>-0.85309118606238421</v>
      </c>
      <c r="P204">
        <f ca="1"/>
        <v>2.2885014675274089</v>
      </c>
      <c r="Q204">
        <f ca="1"/>
        <v>1.5707963267948966</v>
      </c>
      <c r="R204">
        <f ca="1"/>
        <v>690763.55012406595</v>
      </c>
      <c r="S204">
        <f ca="1"/>
        <v>7568491.2934301002</v>
      </c>
      <c r="T204">
        <f ca="1"/>
        <v>352.16900634765602</v>
      </c>
      <c r="U204">
        <f ca="1"/>
        <v>690763.55012406595</v>
      </c>
      <c r="V204">
        <f ca="1"/>
        <v>7568491.2934301002</v>
      </c>
      <c r="W204">
        <f ca="1"/>
        <v>352.16900634765602</v>
      </c>
      <c r="X204">
        <f ca="1"/>
        <v>690743.11727115698</v>
      </c>
      <c r="Y204">
        <f ca="1"/>
        <v>7568514.69833434</v>
      </c>
      <c r="Z204">
        <f ca="1"/>
        <v>351.81900024414</v>
      </c>
      <c r="AA204">
        <f ca="1"/>
        <v>2</v>
      </c>
      <c r="AB204">
        <f ca="1"/>
        <v>1.2</v>
      </c>
      <c r="AC204">
        <f ca="1"/>
        <v>4.5999999999999996</v>
      </c>
      <c r="AD204">
        <f ca="1"/>
        <v>1.6</v>
      </c>
      <c r="AE204">
        <f ca="1"/>
        <v>4.5999999999999996</v>
      </c>
    </row>
    <row r="205" spans="1:31" x14ac:dyDescent="0.25">
      <c r="A205">
        <f ca="1"/>
        <v>204</v>
      </c>
      <c r="B205">
        <f ca="1"/>
        <v>3</v>
      </c>
      <c r="C205">
        <f ca="1"/>
        <v>50</v>
      </c>
      <c r="D205" s="17">
        <f ca="1"/>
        <v>690764.96707736386</v>
      </c>
      <c r="E205" s="17">
        <f ca="1"/>
        <v>7568493.1676348252</v>
      </c>
      <c r="F205">
        <f ca="1"/>
        <v>352.069006347656</v>
      </c>
      <c r="G205">
        <f ca="1"/>
        <v>0</v>
      </c>
      <c r="H205">
        <f ca="1"/>
        <v>0</v>
      </c>
      <c r="I205" t="str">
        <f ca="1"/>
        <v>MIN NO MERGE</v>
      </c>
      <c r="J205">
        <f ca="1"/>
        <v>26</v>
      </c>
      <c r="K205" t="str">
        <f ca="1"/>
        <v>R-7</v>
      </c>
      <c r="L205" t="str">
        <f ca="1"/>
        <v>R-7</v>
      </c>
      <c r="M205">
        <f ca="1"/>
        <v>0</v>
      </c>
      <c r="N205">
        <f ca="1"/>
        <v>-0.85309118606238421</v>
      </c>
      <c r="O205">
        <f ca="1"/>
        <v>-0.85309118606238421</v>
      </c>
      <c r="P205">
        <f ca="1"/>
        <v>2.2885014675274089</v>
      </c>
      <c r="Q205">
        <f ca="1"/>
        <v>1.5707963267948966</v>
      </c>
      <c r="R205">
        <f ca="1"/>
        <v>690763.55012406595</v>
      </c>
      <c r="S205">
        <f ca="1"/>
        <v>7568491.2934301002</v>
      </c>
      <c r="T205">
        <f ca="1"/>
        <v>352.16900634765602</v>
      </c>
      <c r="U205">
        <f ca="1"/>
        <v>690763.55012406595</v>
      </c>
      <c r="V205">
        <f ca="1"/>
        <v>7568491.2934301002</v>
      </c>
      <c r="W205">
        <f ca="1"/>
        <v>352.16900634765602</v>
      </c>
      <c r="X205">
        <f ca="1"/>
        <v>690743.11727115698</v>
      </c>
      <c r="Y205">
        <f ca="1"/>
        <v>7568514.69833434</v>
      </c>
      <c r="Z205">
        <f ca="1"/>
        <v>351.81900024414</v>
      </c>
      <c r="AA205">
        <f ca="1"/>
        <v>2</v>
      </c>
      <c r="AB205">
        <f ca="1"/>
        <v>1.2</v>
      </c>
      <c r="AC205">
        <f ca="1"/>
        <v>4.5999999999999996</v>
      </c>
      <c r="AD205">
        <f ca="1"/>
        <v>1.6</v>
      </c>
      <c r="AE205">
        <f ca="1"/>
        <v>4.5999999999999996</v>
      </c>
    </row>
    <row r="206" spans="1:31" x14ac:dyDescent="0.25">
      <c r="A206">
        <f ca="1"/>
        <v>205</v>
      </c>
      <c r="B206">
        <f ca="1"/>
        <v>0</v>
      </c>
      <c r="C206">
        <f ca="1"/>
        <v>51</v>
      </c>
      <c r="D206" s="17">
        <f ca="1"/>
        <v>690745.16557579779</v>
      </c>
      <c r="E206" s="17">
        <f ca="1"/>
        <v>7568515.8493547998</v>
      </c>
      <c r="F206">
        <f ca="1"/>
        <v>351.71900024413998</v>
      </c>
      <c r="G206">
        <f ca="1"/>
        <v>0</v>
      </c>
      <c r="H206">
        <f ca="1"/>
        <v>0</v>
      </c>
      <c r="I206" t="str">
        <f ca="1"/>
        <v>MIN NO MERGE</v>
      </c>
      <c r="J206">
        <f ca="1"/>
        <v>26</v>
      </c>
      <c r="K206" t="str">
        <f ca="1"/>
        <v>R-7</v>
      </c>
      <c r="L206" t="str">
        <f ca="1"/>
        <v>R-7</v>
      </c>
      <c r="M206">
        <f ca="1"/>
        <v>1</v>
      </c>
      <c r="N206">
        <f ca="1"/>
        <v>2.2885014675274089</v>
      </c>
      <c r="O206">
        <f ca="1"/>
        <v>2.2885014675274089</v>
      </c>
      <c r="P206">
        <f ca="1"/>
        <v>2.2885014675274089</v>
      </c>
      <c r="Q206">
        <f ca="1"/>
        <v>1.5707963267948966</v>
      </c>
      <c r="R206">
        <f ca="1"/>
        <v>690743.11727115698</v>
      </c>
      <c r="S206">
        <f ca="1"/>
        <v>7568514.69833434</v>
      </c>
      <c r="T206">
        <f ca="1"/>
        <v>351.81900024414</v>
      </c>
      <c r="U206">
        <f ca="1"/>
        <v>690763.55012406595</v>
      </c>
      <c r="V206">
        <f ca="1"/>
        <v>7568491.2934301002</v>
      </c>
      <c r="W206">
        <f ca="1"/>
        <v>352.16900634765602</v>
      </c>
      <c r="X206">
        <f ca="1"/>
        <v>690743.11727115698</v>
      </c>
      <c r="Y206">
        <f ca="1"/>
        <v>7568514.69833434</v>
      </c>
      <c r="Z206">
        <f ca="1"/>
        <v>351.81900024414</v>
      </c>
      <c r="AA206">
        <f ca="1"/>
        <v>2</v>
      </c>
      <c r="AB206">
        <f ca="1"/>
        <v>1.2</v>
      </c>
      <c r="AC206">
        <f ca="1"/>
        <v>4.5999999999999996</v>
      </c>
      <c r="AD206">
        <f ca="1"/>
        <v>1.6</v>
      </c>
      <c r="AE206">
        <f ca="1"/>
        <v>4.5999999999999996</v>
      </c>
    </row>
    <row r="207" spans="1:31" x14ac:dyDescent="0.25">
      <c r="A207">
        <f ca="1"/>
        <v>206</v>
      </c>
      <c r="B207">
        <f ca="1"/>
        <v>1</v>
      </c>
      <c r="C207">
        <f ca="1"/>
        <v>51</v>
      </c>
      <c r="D207" s="17">
        <f ca="1"/>
        <v>690744.11332355964</v>
      </c>
      <c r="E207" s="17">
        <f ca="1"/>
        <v>7568517.0546619091</v>
      </c>
      <c r="F207">
        <f ca="1"/>
        <v>351.71900024413998</v>
      </c>
      <c r="G207">
        <f ca="1"/>
        <v>0</v>
      </c>
      <c r="H207">
        <f ca="1"/>
        <v>0</v>
      </c>
      <c r="I207" t="str">
        <f ca="1"/>
        <v>MIN NO MERGE</v>
      </c>
      <c r="J207">
        <f ca="1"/>
        <v>26</v>
      </c>
      <c r="K207" t="str">
        <f ca="1"/>
        <v>R-7</v>
      </c>
      <c r="L207" t="str">
        <f ca="1"/>
        <v>R-7</v>
      </c>
      <c r="M207">
        <f ca="1"/>
        <v>1</v>
      </c>
      <c r="N207">
        <f ca="1"/>
        <v>2.2885014675274089</v>
      </c>
      <c r="O207">
        <f ca="1"/>
        <v>2.2885014675274089</v>
      </c>
      <c r="P207">
        <f ca="1"/>
        <v>2.2885014675274089</v>
      </c>
      <c r="Q207">
        <f ca="1"/>
        <v>1.5707963267948966</v>
      </c>
      <c r="R207">
        <f ca="1"/>
        <v>690743.11727115698</v>
      </c>
      <c r="S207">
        <f ca="1"/>
        <v>7568514.69833434</v>
      </c>
      <c r="T207">
        <f ca="1"/>
        <v>351.81900024414</v>
      </c>
      <c r="U207">
        <f ca="1"/>
        <v>690763.55012406595</v>
      </c>
      <c r="V207">
        <f ca="1"/>
        <v>7568491.2934301002</v>
      </c>
      <c r="W207">
        <f ca="1"/>
        <v>352.16900634765602</v>
      </c>
      <c r="X207">
        <f ca="1"/>
        <v>690743.11727115698</v>
      </c>
      <c r="Y207">
        <f ca="1"/>
        <v>7568514.69833434</v>
      </c>
      <c r="Z207">
        <f ca="1"/>
        <v>351.81900024414</v>
      </c>
      <c r="AA207">
        <f ca="1"/>
        <v>2</v>
      </c>
      <c r="AB207">
        <f ca="1"/>
        <v>1.2</v>
      </c>
      <c r="AC207">
        <f ca="1"/>
        <v>4.5999999999999996</v>
      </c>
      <c r="AD207">
        <f ca="1"/>
        <v>1.6</v>
      </c>
      <c r="AE207">
        <f ca="1"/>
        <v>4.5999999999999996</v>
      </c>
    </row>
    <row r="208" spans="1:31" x14ac:dyDescent="0.25">
      <c r="A208">
        <f ca="1"/>
        <v>207</v>
      </c>
      <c r="B208">
        <f ca="1"/>
        <v>2</v>
      </c>
      <c r="C208">
        <f ca="1"/>
        <v>51</v>
      </c>
      <c r="D208" s="17">
        <f ca="1"/>
        <v>690740.64806562092</v>
      </c>
      <c r="E208" s="17">
        <f ca="1"/>
        <v>7568514.0294367243</v>
      </c>
      <c r="F208">
        <f ca="1"/>
        <v>351.71900024413998</v>
      </c>
      <c r="G208">
        <f ca="1"/>
        <v>0</v>
      </c>
      <c r="H208">
        <f ca="1"/>
        <v>0</v>
      </c>
      <c r="I208" t="str">
        <f ca="1"/>
        <v>MIN NO MERGE</v>
      </c>
      <c r="J208">
        <f ca="1"/>
        <v>26</v>
      </c>
      <c r="K208" t="str">
        <f ca="1"/>
        <v>R-7</v>
      </c>
      <c r="L208" t="str">
        <f ca="1"/>
        <v>R-7</v>
      </c>
      <c r="M208">
        <f ca="1"/>
        <v>1</v>
      </c>
      <c r="N208">
        <f ca="1"/>
        <v>2.2885014675274089</v>
      </c>
      <c r="O208">
        <f ca="1"/>
        <v>2.2885014675274089</v>
      </c>
      <c r="P208">
        <f ca="1"/>
        <v>2.2885014675274089</v>
      </c>
      <c r="Q208">
        <f ca="1"/>
        <v>1.5707963267948966</v>
      </c>
      <c r="R208">
        <f ca="1"/>
        <v>690743.11727115698</v>
      </c>
      <c r="S208">
        <f ca="1"/>
        <v>7568514.69833434</v>
      </c>
      <c r="T208">
        <f ca="1"/>
        <v>351.81900024414</v>
      </c>
      <c r="U208">
        <f ca="1"/>
        <v>690763.55012406595</v>
      </c>
      <c r="V208">
        <f ca="1"/>
        <v>7568491.2934301002</v>
      </c>
      <c r="W208">
        <f ca="1"/>
        <v>352.16900634765602</v>
      </c>
      <c r="X208">
        <f ca="1"/>
        <v>690743.11727115698</v>
      </c>
      <c r="Y208">
        <f ca="1"/>
        <v>7568514.69833434</v>
      </c>
      <c r="Z208">
        <f ca="1"/>
        <v>351.81900024414</v>
      </c>
      <c r="AA208">
        <f ca="1"/>
        <v>2</v>
      </c>
      <c r="AB208">
        <f ca="1"/>
        <v>1.2</v>
      </c>
      <c r="AC208">
        <f ca="1"/>
        <v>4.5999999999999996</v>
      </c>
      <c r="AD208">
        <f ca="1"/>
        <v>1.6</v>
      </c>
      <c r="AE208">
        <f ca="1"/>
        <v>4.5999999999999996</v>
      </c>
    </row>
    <row r="209" spans="1:31" x14ac:dyDescent="0.25">
      <c r="A209">
        <f ca="1"/>
        <v>208</v>
      </c>
      <c r="B209">
        <f ca="1"/>
        <v>3</v>
      </c>
      <c r="C209">
        <f ca="1"/>
        <v>51</v>
      </c>
      <c r="D209" s="17">
        <f ca="1"/>
        <v>690741.70031785907</v>
      </c>
      <c r="E209" s="17">
        <f ca="1"/>
        <v>7568512.824129615</v>
      </c>
      <c r="F209">
        <f ca="1"/>
        <v>351.71900024413998</v>
      </c>
      <c r="G209">
        <f ca="1"/>
        <v>0</v>
      </c>
      <c r="H209">
        <f ca="1"/>
        <v>0</v>
      </c>
      <c r="I209" t="str">
        <f ca="1"/>
        <v>MIN NO MERGE</v>
      </c>
      <c r="J209">
        <f ca="1"/>
        <v>26</v>
      </c>
      <c r="K209" t="str">
        <f ca="1"/>
        <v>R-7</v>
      </c>
      <c r="L209" t="str">
        <f ca="1"/>
        <v>R-7</v>
      </c>
      <c r="M209">
        <f ca="1"/>
        <v>1</v>
      </c>
      <c r="N209">
        <f ca="1"/>
        <v>2.2885014675274089</v>
      </c>
      <c r="O209">
        <f ca="1"/>
        <v>2.2885014675274089</v>
      </c>
      <c r="P209">
        <f ca="1"/>
        <v>2.2885014675274089</v>
      </c>
      <c r="Q209">
        <f ca="1"/>
        <v>1.5707963267948966</v>
      </c>
      <c r="R209">
        <f ca="1"/>
        <v>690743.11727115698</v>
      </c>
      <c r="S209">
        <f ca="1"/>
        <v>7568514.69833434</v>
      </c>
      <c r="T209">
        <f ca="1"/>
        <v>351.81900024414</v>
      </c>
      <c r="U209">
        <f ca="1"/>
        <v>690763.55012406595</v>
      </c>
      <c r="V209">
        <f ca="1"/>
        <v>7568491.2934301002</v>
      </c>
      <c r="W209">
        <f ca="1"/>
        <v>352.16900634765602</v>
      </c>
      <c r="X209">
        <f ca="1"/>
        <v>690743.11727115698</v>
      </c>
      <c r="Y209">
        <f ca="1"/>
        <v>7568514.69833434</v>
      </c>
      <c r="Z209">
        <f ca="1"/>
        <v>351.81900024414</v>
      </c>
      <c r="AA209">
        <f ca="1"/>
        <v>2</v>
      </c>
      <c r="AB209">
        <f ca="1"/>
        <v>1.2</v>
      </c>
      <c r="AC209">
        <f ca="1"/>
        <v>4.5999999999999996</v>
      </c>
      <c r="AD209">
        <f ca="1"/>
        <v>1.6</v>
      </c>
      <c r="AE209">
        <f ca="1"/>
        <v>4.5999999999999996</v>
      </c>
    </row>
    <row r="210" spans="1:31" x14ac:dyDescent="0.25">
      <c r="A210">
        <f ca="1"/>
        <v>209</v>
      </c>
      <c r="B210">
        <f ca="1"/>
        <v>0</v>
      </c>
      <c r="C210">
        <f ca="1"/>
        <v>52</v>
      </c>
      <c r="D210" s="17">
        <f ca="1"/>
        <v>690556.8894313348</v>
      </c>
      <c r="E210" s="17">
        <f ca="1"/>
        <v>7568243.0073543275</v>
      </c>
      <c r="F210">
        <f ca="1"/>
        <v>352.58200683593697</v>
      </c>
      <c r="G210">
        <f ca="1"/>
        <v>0</v>
      </c>
      <c r="H210">
        <f ca="1"/>
        <v>0</v>
      </c>
      <c r="I210" t="str">
        <f ca="1"/>
        <v>MIN NO MERGE</v>
      </c>
      <c r="J210">
        <f ca="1"/>
        <v>27</v>
      </c>
      <c r="K210" t="str">
        <f ca="1"/>
        <v>R-7b</v>
      </c>
      <c r="L210" t="str">
        <f ca="1"/>
        <v>R-7b</v>
      </c>
      <c r="M210">
        <f ca="1"/>
        <v>0</v>
      </c>
      <c r="N210">
        <f ca="1"/>
        <v>-0.94616090395726538</v>
      </c>
      <c r="O210">
        <f ca="1"/>
        <v>-0.94616090395726538</v>
      </c>
      <c r="P210">
        <f ca="1"/>
        <v>2.1954317496325277</v>
      </c>
      <c r="Q210">
        <f ca="1"/>
        <v>1.5707963267948966</v>
      </c>
      <c r="R210">
        <f ca="1"/>
        <v>690559.03584176197</v>
      </c>
      <c r="S210">
        <f ca="1"/>
        <v>7568243.9630332896</v>
      </c>
      <c r="T210">
        <f ca="1"/>
        <v>352.68200683593699</v>
      </c>
      <c r="U210">
        <f ca="1"/>
        <v>690559.03584176197</v>
      </c>
      <c r="V210">
        <f ca="1"/>
        <v>7568243.9630332896</v>
      </c>
      <c r="W210">
        <f ca="1"/>
        <v>352.68200683593699</v>
      </c>
      <c r="X210">
        <f ca="1"/>
        <v>690538.88161866495</v>
      </c>
      <c r="Y210">
        <f ca="1"/>
        <v>7568271.91889113</v>
      </c>
      <c r="Z210">
        <f ca="1"/>
        <v>352.15353393554602</v>
      </c>
      <c r="AA210">
        <f ca="1"/>
        <v>2</v>
      </c>
      <c r="AB210">
        <f ca="1"/>
        <v>1.2</v>
      </c>
      <c r="AC210">
        <f ca="1"/>
        <v>4.5999999999999996</v>
      </c>
      <c r="AD210">
        <f ca="1"/>
        <v>1.6</v>
      </c>
      <c r="AE210">
        <f ca="1"/>
        <v>4.5999999999999996</v>
      </c>
    </row>
    <row r="211" spans="1:31" x14ac:dyDescent="0.25">
      <c r="A211">
        <f ca="1"/>
        <v>210</v>
      </c>
      <c r="B211">
        <f ca="1"/>
        <v>1</v>
      </c>
      <c r="C211">
        <f ca="1"/>
        <v>52</v>
      </c>
      <c r="D211" s="17">
        <f ca="1"/>
        <v>690557.82511385554</v>
      </c>
      <c r="E211" s="17">
        <f ca="1"/>
        <v>7568241.7094721217</v>
      </c>
      <c r="F211">
        <f ca="1"/>
        <v>352.58200683593697</v>
      </c>
      <c r="G211">
        <f ca="1"/>
        <v>0</v>
      </c>
      <c r="H211">
        <f ca="1"/>
        <v>0</v>
      </c>
      <c r="I211" t="str">
        <f ca="1"/>
        <v>MIN NO MERGE</v>
      </c>
      <c r="J211">
        <f ca="1"/>
        <v>27</v>
      </c>
      <c r="K211" t="str">
        <f ca="1"/>
        <v>R-7b</v>
      </c>
      <c r="L211" t="str">
        <f ca="1"/>
        <v>R-7b</v>
      </c>
      <c r="M211">
        <f ca="1"/>
        <v>0</v>
      </c>
      <c r="N211">
        <f ca="1"/>
        <v>-0.94616090395726538</v>
      </c>
      <c r="O211">
        <f ca="1"/>
        <v>-0.94616090395726538</v>
      </c>
      <c r="P211">
        <f ca="1"/>
        <v>2.1954317496325277</v>
      </c>
      <c r="Q211">
        <f ca="1"/>
        <v>1.5707963267948966</v>
      </c>
      <c r="R211">
        <f ca="1"/>
        <v>690559.03584176197</v>
      </c>
      <c r="S211">
        <f ca="1"/>
        <v>7568243.9630332896</v>
      </c>
      <c r="T211">
        <f ca="1"/>
        <v>352.68200683593699</v>
      </c>
      <c r="U211">
        <f ca="1"/>
        <v>690559.03584176197</v>
      </c>
      <c r="V211">
        <f ca="1"/>
        <v>7568243.9630332896</v>
      </c>
      <c r="W211">
        <f ca="1"/>
        <v>352.68200683593699</v>
      </c>
      <c r="X211">
        <f ca="1"/>
        <v>690538.88161866495</v>
      </c>
      <c r="Y211">
        <f ca="1"/>
        <v>7568271.91889113</v>
      </c>
      <c r="Z211">
        <f ca="1"/>
        <v>352.15353393554602</v>
      </c>
      <c r="AA211">
        <f ca="1"/>
        <v>2</v>
      </c>
      <c r="AB211">
        <f ca="1"/>
        <v>1.2</v>
      </c>
      <c r="AC211">
        <f ca="1"/>
        <v>4.5999999999999996</v>
      </c>
      <c r="AD211">
        <f ca="1"/>
        <v>1.6</v>
      </c>
      <c r="AE211">
        <f ca="1"/>
        <v>4.5999999999999996</v>
      </c>
    </row>
    <row r="212" spans="1:31" x14ac:dyDescent="0.25">
      <c r="A212">
        <f ca="1"/>
        <v>211</v>
      </c>
      <c r="B212">
        <f ca="1"/>
        <v>2</v>
      </c>
      <c r="C212">
        <f ca="1"/>
        <v>52</v>
      </c>
      <c r="D212" s="17">
        <f ca="1"/>
        <v>690561.55652519758</v>
      </c>
      <c r="E212" s="17">
        <f ca="1"/>
        <v>7568244.3995593693</v>
      </c>
      <c r="F212">
        <f ca="1"/>
        <v>352.58200683593697</v>
      </c>
      <c r="G212">
        <f ca="1"/>
        <v>0</v>
      </c>
      <c r="H212">
        <f ca="1"/>
        <v>0</v>
      </c>
      <c r="I212" t="str">
        <f ca="1"/>
        <v>MIN NO MERGE</v>
      </c>
      <c r="J212">
        <f ca="1"/>
        <v>27</v>
      </c>
      <c r="K212" t="str">
        <f ca="1"/>
        <v>R-7b</v>
      </c>
      <c r="L212" t="str">
        <f ca="1"/>
        <v>R-7b</v>
      </c>
      <c r="M212">
        <f ca="1"/>
        <v>0</v>
      </c>
      <c r="N212">
        <f ca="1"/>
        <v>-0.94616090395726538</v>
      </c>
      <c r="O212">
        <f ca="1"/>
        <v>-0.94616090395726538</v>
      </c>
      <c r="P212">
        <f ca="1"/>
        <v>2.1954317496325277</v>
      </c>
      <c r="Q212">
        <f ca="1"/>
        <v>1.5707963267948966</v>
      </c>
      <c r="R212">
        <f ca="1"/>
        <v>690559.03584176197</v>
      </c>
      <c r="S212">
        <f ca="1"/>
        <v>7568243.9630332896</v>
      </c>
      <c r="T212">
        <f ca="1"/>
        <v>352.68200683593699</v>
      </c>
      <c r="U212">
        <f ca="1"/>
        <v>690559.03584176197</v>
      </c>
      <c r="V212">
        <f ca="1"/>
        <v>7568243.9630332896</v>
      </c>
      <c r="W212">
        <f ca="1"/>
        <v>352.68200683593699</v>
      </c>
      <c r="X212">
        <f ca="1"/>
        <v>690538.88161866495</v>
      </c>
      <c r="Y212">
        <f ca="1"/>
        <v>7568271.91889113</v>
      </c>
      <c r="Z212">
        <f ca="1"/>
        <v>352.15353393554602</v>
      </c>
      <c r="AA212">
        <f ca="1"/>
        <v>2</v>
      </c>
      <c r="AB212">
        <f ca="1"/>
        <v>1.2</v>
      </c>
      <c r="AC212">
        <f ca="1"/>
        <v>4.5999999999999996</v>
      </c>
      <c r="AD212">
        <f ca="1"/>
        <v>1.6</v>
      </c>
      <c r="AE212">
        <f ca="1"/>
        <v>4.5999999999999996</v>
      </c>
    </row>
    <row r="213" spans="1:31" x14ac:dyDescent="0.25">
      <c r="A213">
        <f ca="1"/>
        <v>212</v>
      </c>
      <c r="B213">
        <f ca="1"/>
        <v>3</v>
      </c>
      <c r="C213">
        <f ca="1"/>
        <v>52</v>
      </c>
      <c r="D213" s="17">
        <f ca="1"/>
        <v>690560.62084267684</v>
      </c>
      <c r="E213" s="17">
        <f ca="1"/>
        <v>7568245.6974415751</v>
      </c>
      <c r="F213">
        <f ca="1"/>
        <v>352.58200683593697</v>
      </c>
      <c r="G213">
        <f ca="1"/>
        <v>0</v>
      </c>
      <c r="H213">
        <f ca="1"/>
        <v>0</v>
      </c>
      <c r="I213" t="str">
        <f ca="1"/>
        <v>MIN NO MERGE</v>
      </c>
      <c r="J213">
        <f ca="1"/>
        <v>27</v>
      </c>
      <c r="K213" t="str">
        <f ca="1"/>
        <v>R-7b</v>
      </c>
      <c r="L213" t="str">
        <f ca="1"/>
        <v>R-7b</v>
      </c>
      <c r="M213">
        <f ca="1"/>
        <v>0</v>
      </c>
      <c r="N213">
        <f ca="1"/>
        <v>-0.94616090395726538</v>
      </c>
      <c r="O213">
        <f ca="1"/>
        <v>-0.94616090395726538</v>
      </c>
      <c r="P213">
        <f ca="1"/>
        <v>2.1954317496325277</v>
      </c>
      <c r="Q213">
        <f ca="1"/>
        <v>1.5707963267948966</v>
      </c>
      <c r="R213">
        <f ca="1"/>
        <v>690559.03584176197</v>
      </c>
      <c r="S213">
        <f ca="1"/>
        <v>7568243.9630332896</v>
      </c>
      <c r="T213">
        <f ca="1"/>
        <v>352.68200683593699</v>
      </c>
      <c r="U213">
        <f ca="1"/>
        <v>690559.03584176197</v>
      </c>
      <c r="V213">
        <f ca="1"/>
        <v>7568243.9630332896</v>
      </c>
      <c r="W213">
        <f ca="1"/>
        <v>352.68200683593699</v>
      </c>
      <c r="X213">
        <f ca="1"/>
        <v>690538.88161866495</v>
      </c>
      <c r="Y213">
        <f ca="1"/>
        <v>7568271.91889113</v>
      </c>
      <c r="Z213">
        <f ca="1"/>
        <v>352.15353393554602</v>
      </c>
      <c r="AA213">
        <f ca="1"/>
        <v>2</v>
      </c>
      <c r="AB213">
        <f ca="1"/>
        <v>1.2</v>
      </c>
      <c r="AC213">
        <f ca="1"/>
        <v>4.5999999999999996</v>
      </c>
      <c r="AD213">
        <f ca="1"/>
        <v>1.6</v>
      </c>
      <c r="AE213">
        <f ca="1"/>
        <v>4.5999999999999996</v>
      </c>
    </row>
    <row r="214" spans="1:31" x14ac:dyDescent="0.25">
      <c r="A214">
        <f ca="1"/>
        <v>213</v>
      </c>
      <c r="B214">
        <f ca="1"/>
        <v>0</v>
      </c>
      <c r="C214">
        <f ca="1"/>
        <v>53</v>
      </c>
      <c r="D214" s="17">
        <f ca="1"/>
        <v>690541.02802909212</v>
      </c>
      <c r="E214" s="17">
        <f ca="1"/>
        <v>7568272.8745700922</v>
      </c>
      <c r="F214">
        <f ca="1"/>
        <v>352.053533935546</v>
      </c>
      <c r="G214">
        <f ca="1"/>
        <v>0</v>
      </c>
      <c r="H214">
        <f ca="1"/>
        <v>0</v>
      </c>
      <c r="I214" t="str">
        <f ca="1"/>
        <v>MIN NO MERGE</v>
      </c>
      <c r="J214">
        <f ca="1"/>
        <v>27</v>
      </c>
      <c r="K214" t="str">
        <f ca="1"/>
        <v>R-7b</v>
      </c>
      <c r="L214" t="str">
        <f ca="1"/>
        <v>R-7b</v>
      </c>
      <c r="M214">
        <f ca="1"/>
        <v>1</v>
      </c>
      <c r="N214">
        <f ca="1"/>
        <v>2.1954317496325277</v>
      </c>
      <c r="O214">
        <f ca="1"/>
        <v>2.1954317496325277</v>
      </c>
      <c r="P214">
        <f ca="1"/>
        <v>2.1954317496325277</v>
      </c>
      <c r="Q214">
        <f ca="1"/>
        <v>1.5707963267948966</v>
      </c>
      <c r="R214">
        <f ca="1"/>
        <v>690538.88161866495</v>
      </c>
      <c r="S214">
        <f ca="1"/>
        <v>7568271.91889113</v>
      </c>
      <c r="T214">
        <f ca="1"/>
        <v>352.15353393554602</v>
      </c>
      <c r="U214">
        <f ca="1"/>
        <v>690559.03584176197</v>
      </c>
      <c r="V214">
        <f ca="1"/>
        <v>7568243.9630332896</v>
      </c>
      <c r="W214">
        <f ca="1"/>
        <v>352.68200683593699</v>
      </c>
      <c r="X214">
        <f ca="1"/>
        <v>690538.88161866495</v>
      </c>
      <c r="Y214">
        <f ca="1"/>
        <v>7568271.91889113</v>
      </c>
      <c r="Z214">
        <f ca="1"/>
        <v>352.15353393554602</v>
      </c>
      <c r="AA214">
        <f ca="1"/>
        <v>2</v>
      </c>
      <c r="AB214">
        <f ca="1"/>
        <v>1.2</v>
      </c>
      <c r="AC214">
        <f ca="1"/>
        <v>4.5999999999999996</v>
      </c>
      <c r="AD214">
        <f ca="1"/>
        <v>1.6</v>
      </c>
      <c r="AE214">
        <f ca="1"/>
        <v>4.5999999999999996</v>
      </c>
    </row>
    <row r="215" spans="1:31" x14ac:dyDescent="0.25">
      <c r="A215">
        <f ca="1"/>
        <v>214</v>
      </c>
      <c r="B215">
        <f ca="1"/>
        <v>1</v>
      </c>
      <c r="C215">
        <f ca="1"/>
        <v>53</v>
      </c>
      <c r="D215" s="17">
        <f ca="1"/>
        <v>690540.09234657139</v>
      </c>
      <c r="E215" s="17">
        <f ca="1"/>
        <v>7568274.172452298</v>
      </c>
      <c r="F215">
        <f ca="1"/>
        <v>352.053533935546</v>
      </c>
      <c r="G215">
        <f ca="1"/>
        <v>0</v>
      </c>
      <c r="H215">
        <f ca="1"/>
        <v>0</v>
      </c>
      <c r="I215" t="str">
        <f ca="1"/>
        <v>MIN NO MERGE</v>
      </c>
      <c r="J215">
        <f ca="1"/>
        <v>27</v>
      </c>
      <c r="K215" t="str">
        <f ca="1"/>
        <v>R-7b</v>
      </c>
      <c r="L215" t="str">
        <f ca="1"/>
        <v>R-7b</v>
      </c>
      <c r="M215">
        <f ca="1"/>
        <v>1</v>
      </c>
      <c r="N215">
        <f ca="1"/>
        <v>2.1954317496325277</v>
      </c>
      <c r="O215">
        <f ca="1"/>
        <v>2.1954317496325277</v>
      </c>
      <c r="P215">
        <f ca="1"/>
        <v>2.1954317496325277</v>
      </c>
      <c r="Q215">
        <f ca="1"/>
        <v>1.5707963267948966</v>
      </c>
      <c r="R215">
        <f ca="1"/>
        <v>690538.88161866495</v>
      </c>
      <c r="S215">
        <f ca="1"/>
        <v>7568271.91889113</v>
      </c>
      <c r="T215">
        <f ca="1"/>
        <v>352.15353393554602</v>
      </c>
      <c r="U215">
        <f ca="1"/>
        <v>690559.03584176197</v>
      </c>
      <c r="V215">
        <f ca="1"/>
        <v>7568243.9630332896</v>
      </c>
      <c r="W215">
        <f ca="1"/>
        <v>352.68200683593699</v>
      </c>
      <c r="X215">
        <f ca="1"/>
        <v>690538.88161866495</v>
      </c>
      <c r="Y215">
        <f ca="1"/>
        <v>7568271.91889113</v>
      </c>
      <c r="Z215">
        <f ca="1"/>
        <v>352.15353393554602</v>
      </c>
      <c r="AA215">
        <f ca="1"/>
        <v>2</v>
      </c>
      <c r="AB215">
        <f ca="1"/>
        <v>1.2</v>
      </c>
      <c r="AC215">
        <f ca="1"/>
        <v>4.5999999999999996</v>
      </c>
      <c r="AD215">
        <f ca="1"/>
        <v>1.6</v>
      </c>
      <c r="AE215">
        <f ca="1"/>
        <v>4.5999999999999996</v>
      </c>
    </row>
    <row r="216" spans="1:31" x14ac:dyDescent="0.25">
      <c r="A216">
        <f ca="1"/>
        <v>215</v>
      </c>
      <c r="B216">
        <f ca="1"/>
        <v>2</v>
      </c>
      <c r="C216">
        <f ca="1"/>
        <v>53</v>
      </c>
      <c r="D216" s="17">
        <f ca="1"/>
        <v>690536.36093522934</v>
      </c>
      <c r="E216" s="17">
        <f ca="1"/>
        <v>7568271.4823650504</v>
      </c>
      <c r="F216">
        <f ca="1"/>
        <v>352.053533935546</v>
      </c>
      <c r="G216">
        <f ca="1"/>
        <v>0</v>
      </c>
      <c r="H216">
        <f ca="1"/>
        <v>0</v>
      </c>
      <c r="I216" t="str">
        <f ca="1"/>
        <v>MIN NO MERGE</v>
      </c>
      <c r="J216">
        <f ca="1"/>
        <v>27</v>
      </c>
      <c r="K216" t="str">
        <f ca="1"/>
        <v>R-7b</v>
      </c>
      <c r="L216" t="str">
        <f ca="1"/>
        <v>R-7b</v>
      </c>
      <c r="M216">
        <f ca="1"/>
        <v>1</v>
      </c>
      <c r="N216">
        <f ca="1"/>
        <v>2.1954317496325277</v>
      </c>
      <c r="O216">
        <f ca="1"/>
        <v>2.1954317496325277</v>
      </c>
      <c r="P216">
        <f ca="1"/>
        <v>2.1954317496325277</v>
      </c>
      <c r="Q216">
        <f ca="1"/>
        <v>1.5707963267948966</v>
      </c>
      <c r="R216">
        <f ca="1"/>
        <v>690538.88161866495</v>
      </c>
      <c r="S216">
        <f ca="1"/>
        <v>7568271.91889113</v>
      </c>
      <c r="T216">
        <f ca="1"/>
        <v>352.15353393554602</v>
      </c>
      <c r="U216">
        <f ca="1"/>
        <v>690559.03584176197</v>
      </c>
      <c r="V216">
        <f ca="1"/>
        <v>7568243.9630332896</v>
      </c>
      <c r="W216">
        <f ca="1"/>
        <v>352.68200683593699</v>
      </c>
      <c r="X216">
        <f ca="1"/>
        <v>690538.88161866495</v>
      </c>
      <c r="Y216">
        <f ca="1"/>
        <v>7568271.91889113</v>
      </c>
      <c r="Z216">
        <f ca="1"/>
        <v>352.15353393554602</v>
      </c>
      <c r="AA216">
        <f ca="1"/>
        <v>2</v>
      </c>
      <c r="AB216">
        <f ca="1"/>
        <v>1.2</v>
      </c>
      <c r="AC216">
        <f ca="1"/>
        <v>4.5999999999999996</v>
      </c>
      <c r="AD216">
        <f ca="1"/>
        <v>1.6</v>
      </c>
      <c r="AE216">
        <f ca="1"/>
        <v>4.5999999999999996</v>
      </c>
    </row>
    <row r="217" spans="1:31" x14ac:dyDescent="0.25">
      <c r="A217">
        <f ca="1"/>
        <v>216</v>
      </c>
      <c r="B217">
        <f ca="1"/>
        <v>3</v>
      </c>
      <c r="C217">
        <f ca="1"/>
        <v>53</v>
      </c>
      <c r="D217" s="17">
        <f ca="1"/>
        <v>690537.29661775008</v>
      </c>
      <c r="E217" s="17">
        <f ca="1"/>
        <v>7568270.1844828445</v>
      </c>
      <c r="F217">
        <f ca="1"/>
        <v>352.053533935546</v>
      </c>
      <c r="G217">
        <f ca="1"/>
        <v>0</v>
      </c>
      <c r="H217">
        <f ca="1"/>
        <v>0</v>
      </c>
      <c r="I217" t="str">
        <f ca="1"/>
        <v>MIN NO MERGE</v>
      </c>
      <c r="J217">
        <f ca="1"/>
        <v>27</v>
      </c>
      <c r="K217" t="str">
        <f ca="1"/>
        <v>R-7b</v>
      </c>
      <c r="L217" t="str">
        <f ca="1"/>
        <v>R-7b</v>
      </c>
      <c r="M217">
        <f ca="1"/>
        <v>1</v>
      </c>
      <c r="N217">
        <f ca="1"/>
        <v>2.1954317496325277</v>
      </c>
      <c r="O217">
        <f ca="1"/>
        <v>2.1954317496325277</v>
      </c>
      <c r="P217">
        <f ca="1"/>
        <v>2.1954317496325277</v>
      </c>
      <c r="Q217">
        <f ca="1"/>
        <v>1.5707963267948966</v>
      </c>
      <c r="R217">
        <f ca="1"/>
        <v>690538.88161866495</v>
      </c>
      <c r="S217">
        <f ca="1"/>
        <v>7568271.91889113</v>
      </c>
      <c r="T217">
        <f ca="1"/>
        <v>352.15353393554602</v>
      </c>
      <c r="U217">
        <f ca="1"/>
        <v>690559.03584176197</v>
      </c>
      <c r="V217">
        <f ca="1"/>
        <v>7568243.9630332896</v>
      </c>
      <c r="W217">
        <f ca="1"/>
        <v>352.68200683593699</v>
      </c>
      <c r="X217">
        <f ca="1"/>
        <v>690538.88161866495</v>
      </c>
      <c r="Y217">
        <f ca="1"/>
        <v>7568271.91889113</v>
      </c>
      <c r="Z217">
        <f ca="1"/>
        <v>352.15353393554602</v>
      </c>
      <c r="AA217">
        <f ca="1"/>
        <v>2</v>
      </c>
      <c r="AB217">
        <f ca="1"/>
        <v>1.2</v>
      </c>
      <c r="AC217">
        <f ca="1"/>
        <v>4.5999999999999996</v>
      </c>
      <c r="AD217">
        <f ca="1"/>
        <v>1.6</v>
      </c>
      <c r="AE217">
        <f ca="1"/>
        <v>4.5999999999999996</v>
      </c>
    </row>
    <row r="218" spans="1:31" x14ac:dyDescent="0.25">
      <c r="A218">
        <f ca="1"/>
        <v>217</v>
      </c>
      <c r="B218">
        <f ca="1"/>
        <v>0</v>
      </c>
      <c r="C218">
        <f ca="1"/>
        <v>54</v>
      </c>
      <c r="D218" s="17">
        <f ca="1"/>
        <v>690269.09142698022</v>
      </c>
      <c r="E218" s="17">
        <f ca="1"/>
        <v>7567896.89762994</v>
      </c>
      <c r="F218">
        <f ca="1"/>
        <v>359.12599999999998</v>
      </c>
      <c r="G218">
        <f ca="1"/>
        <v>0</v>
      </c>
      <c r="H218">
        <f ca="1"/>
        <v>0</v>
      </c>
      <c r="I218" t="str">
        <f ca="1"/>
        <v>MIN NO MERGE</v>
      </c>
      <c r="J218">
        <f ca="1"/>
        <v>28</v>
      </c>
      <c r="K218" t="str">
        <f ca="1"/>
        <v>R-7c</v>
      </c>
      <c r="L218" t="str">
        <f ca="1"/>
        <v>R-7c</v>
      </c>
      <c r="M218">
        <f ca="1"/>
        <v>0</v>
      </c>
      <c r="N218">
        <f ca="1"/>
        <v>-1.3783547250147983</v>
      </c>
      <c r="O218">
        <f ca="1"/>
        <v>-1.3783547250147983</v>
      </c>
      <c r="P218">
        <f ca="1"/>
        <v>1.7632379285749948</v>
      </c>
      <c r="Q218">
        <f ca="1"/>
        <v>1.5707963267948966</v>
      </c>
      <c r="R218">
        <f ca="1"/>
        <v>690270.38070888899</v>
      </c>
      <c r="S218">
        <f ca="1"/>
        <v>7567896.6598229604</v>
      </c>
      <c r="T218">
        <f ca="1"/>
        <v>359.226</v>
      </c>
      <c r="U218">
        <f ca="1"/>
        <v>690270.38070888899</v>
      </c>
      <c r="V218">
        <f ca="1"/>
        <v>7567896.6598229604</v>
      </c>
      <c r="W218">
        <f ca="1"/>
        <v>359.226</v>
      </c>
      <c r="X218">
        <f ca="1"/>
        <v>690261.17007480003</v>
      </c>
      <c r="Y218">
        <f ca="1"/>
        <v>7567943.9294922501</v>
      </c>
      <c r="Z218">
        <f ca="1"/>
        <v>357.96600000000001</v>
      </c>
      <c r="AA218">
        <f ca="1"/>
        <v>1</v>
      </c>
      <c r="AB218">
        <f ca="1"/>
        <v>0.9</v>
      </c>
      <c r="AC218">
        <f ca="1"/>
        <v>2.44</v>
      </c>
      <c r="AD218">
        <f ca="1"/>
        <v>1.6</v>
      </c>
      <c r="AE218">
        <f ca="1"/>
        <v>2.44</v>
      </c>
    </row>
    <row r="219" spans="1:31" x14ac:dyDescent="0.25">
      <c r="A219">
        <f ca="1"/>
        <v>218</v>
      </c>
      <c r="B219">
        <f ca="1"/>
        <v>1</v>
      </c>
      <c r="C219">
        <f ca="1"/>
        <v>54</v>
      </c>
      <c r="D219" s="17">
        <f ca="1"/>
        <v>690269.39743656898</v>
      </c>
      <c r="E219" s="17">
        <f ca="1"/>
        <v>7567895.3271656353</v>
      </c>
      <c r="F219">
        <f ca="1"/>
        <v>359.12599999999998</v>
      </c>
      <c r="G219">
        <f ca="1"/>
        <v>0</v>
      </c>
      <c r="H219">
        <f ca="1"/>
        <v>0</v>
      </c>
      <c r="I219" t="str">
        <f ca="1"/>
        <v>MIN NO MERGE</v>
      </c>
      <c r="J219">
        <f ca="1"/>
        <v>28</v>
      </c>
      <c r="K219" t="str">
        <f ca="1"/>
        <v>R-7c</v>
      </c>
      <c r="L219" t="str">
        <f ca="1"/>
        <v>R-7c</v>
      </c>
      <c r="M219">
        <f ca="1"/>
        <v>0</v>
      </c>
      <c r="N219">
        <f ca="1"/>
        <v>-1.3783547250147983</v>
      </c>
      <c r="O219">
        <f ca="1"/>
        <v>-1.3783547250147983</v>
      </c>
      <c r="P219">
        <f ca="1"/>
        <v>1.7632379285749948</v>
      </c>
      <c r="Q219">
        <f ca="1"/>
        <v>1.5707963267948966</v>
      </c>
      <c r="R219">
        <f ca="1"/>
        <v>690270.38070888899</v>
      </c>
      <c r="S219">
        <f ca="1"/>
        <v>7567896.6598229604</v>
      </c>
      <c r="T219">
        <f ca="1"/>
        <v>359.226</v>
      </c>
      <c r="U219">
        <f ca="1"/>
        <v>690270.38070888899</v>
      </c>
      <c r="V219">
        <f ca="1"/>
        <v>7567896.6598229604</v>
      </c>
      <c r="W219">
        <f ca="1"/>
        <v>359.226</v>
      </c>
      <c r="X219">
        <f ca="1"/>
        <v>690261.17007480003</v>
      </c>
      <c r="Y219">
        <f ca="1"/>
        <v>7567943.9294922501</v>
      </c>
      <c r="Z219">
        <f ca="1"/>
        <v>357.96600000000001</v>
      </c>
      <c r="AA219">
        <f ca="1"/>
        <v>1</v>
      </c>
      <c r="AB219">
        <f ca="1"/>
        <v>0.9</v>
      </c>
      <c r="AC219">
        <f ca="1"/>
        <v>2.44</v>
      </c>
      <c r="AD219">
        <f ca="1"/>
        <v>1.6</v>
      </c>
      <c r="AE219">
        <f ca="1"/>
        <v>2.44</v>
      </c>
    </row>
    <row r="220" spans="1:31" x14ac:dyDescent="0.25">
      <c r="A220">
        <f ca="1"/>
        <v>219</v>
      </c>
      <c r="B220">
        <f ca="1"/>
        <v>2</v>
      </c>
      <c r="C220">
        <f ca="1"/>
        <v>54</v>
      </c>
      <c r="D220" s="17">
        <f ca="1"/>
        <v>690271.7923946334</v>
      </c>
      <c r="E220" s="17">
        <f ca="1"/>
        <v>7567895.7938302588</v>
      </c>
      <c r="F220">
        <f ca="1"/>
        <v>359.12599999999998</v>
      </c>
      <c r="G220">
        <f ca="1"/>
        <v>0</v>
      </c>
      <c r="H220">
        <f ca="1"/>
        <v>0</v>
      </c>
      <c r="I220" t="str">
        <f ca="1"/>
        <v>MIN NO MERGE</v>
      </c>
      <c r="J220">
        <f ca="1"/>
        <v>28</v>
      </c>
      <c r="K220" t="str">
        <f ca="1"/>
        <v>R-7c</v>
      </c>
      <c r="L220" t="str">
        <f ca="1"/>
        <v>R-7c</v>
      </c>
      <c r="M220">
        <f ca="1"/>
        <v>0</v>
      </c>
      <c r="N220">
        <f ca="1"/>
        <v>-1.3783547250147983</v>
      </c>
      <c r="O220">
        <f ca="1"/>
        <v>-1.3783547250147983</v>
      </c>
      <c r="P220">
        <f ca="1"/>
        <v>1.7632379285749948</v>
      </c>
      <c r="Q220">
        <f ca="1"/>
        <v>1.5707963267948966</v>
      </c>
      <c r="R220">
        <f ca="1"/>
        <v>690270.38070888899</v>
      </c>
      <c r="S220">
        <f ca="1"/>
        <v>7567896.6598229604</v>
      </c>
      <c r="T220">
        <f ca="1"/>
        <v>359.226</v>
      </c>
      <c r="U220">
        <f ca="1"/>
        <v>690270.38070888899</v>
      </c>
      <c r="V220">
        <f ca="1"/>
        <v>7567896.6598229604</v>
      </c>
      <c r="W220">
        <f ca="1"/>
        <v>359.226</v>
      </c>
      <c r="X220">
        <f ca="1"/>
        <v>690261.17007480003</v>
      </c>
      <c r="Y220">
        <f ca="1"/>
        <v>7567943.9294922501</v>
      </c>
      <c r="Z220">
        <f ca="1"/>
        <v>357.96600000000001</v>
      </c>
      <c r="AA220">
        <f ca="1"/>
        <v>1</v>
      </c>
      <c r="AB220">
        <f ca="1"/>
        <v>0.9</v>
      </c>
      <c r="AC220">
        <f ca="1"/>
        <v>2.44</v>
      </c>
      <c r="AD220">
        <f ca="1"/>
        <v>1.6</v>
      </c>
      <c r="AE220">
        <f ca="1"/>
        <v>2.44</v>
      </c>
    </row>
    <row r="221" spans="1:31" x14ac:dyDescent="0.25">
      <c r="A221">
        <f ca="1"/>
        <v>220</v>
      </c>
      <c r="B221">
        <f ca="1"/>
        <v>3</v>
      </c>
      <c r="C221">
        <f ca="1"/>
        <v>54</v>
      </c>
      <c r="D221" s="17">
        <f ca="1"/>
        <v>690271.48638504464</v>
      </c>
      <c r="E221" s="17">
        <f ca="1"/>
        <v>7567897.3642945634</v>
      </c>
      <c r="F221">
        <f ca="1"/>
        <v>359.12599999999998</v>
      </c>
      <c r="G221">
        <f ca="1"/>
        <v>0</v>
      </c>
      <c r="H221">
        <f ca="1"/>
        <v>0</v>
      </c>
      <c r="I221" t="str">
        <f ca="1"/>
        <v>MIN NO MERGE</v>
      </c>
      <c r="J221">
        <f ca="1"/>
        <v>28</v>
      </c>
      <c r="K221" t="str">
        <f ca="1"/>
        <v>R-7c</v>
      </c>
      <c r="L221" t="str">
        <f ca="1"/>
        <v>R-7c</v>
      </c>
      <c r="M221">
        <f ca="1"/>
        <v>0</v>
      </c>
      <c r="N221">
        <f ca="1"/>
        <v>-1.3783547250147983</v>
      </c>
      <c r="O221">
        <f ca="1"/>
        <v>-1.3783547250147983</v>
      </c>
      <c r="P221">
        <f ca="1"/>
        <v>1.7632379285749948</v>
      </c>
      <c r="Q221">
        <f ca="1"/>
        <v>1.5707963267948966</v>
      </c>
      <c r="R221">
        <f ca="1"/>
        <v>690270.38070888899</v>
      </c>
      <c r="S221">
        <f ca="1"/>
        <v>7567896.6598229604</v>
      </c>
      <c r="T221">
        <f ca="1"/>
        <v>359.226</v>
      </c>
      <c r="U221">
        <f ca="1"/>
        <v>690270.38070888899</v>
      </c>
      <c r="V221">
        <f ca="1"/>
        <v>7567896.6598229604</v>
      </c>
      <c r="W221">
        <f ca="1"/>
        <v>359.226</v>
      </c>
      <c r="X221">
        <f ca="1"/>
        <v>690261.17007480003</v>
      </c>
      <c r="Y221">
        <f ca="1"/>
        <v>7567943.9294922501</v>
      </c>
      <c r="Z221">
        <f ca="1"/>
        <v>357.96600000000001</v>
      </c>
      <c r="AA221">
        <f ca="1"/>
        <v>1</v>
      </c>
      <c r="AB221">
        <f ca="1"/>
        <v>0.9</v>
      </c>
      <c r="AC221">
        <f ca="1"/>
        <v>2.44</v>
      </c>
      <c r="AD221">
        <f ca="1"/>
        <v>1.6</v>
      </c>
      <c r="AE221">
        <f ca="1"/>
        <v>2.44</v>
      </c>
    </row>
    <row r="222" spans="1:31" x14ac:dyDescent="0.25">
      <c r="A222">
        <f ca="1"/>
        <v>221</v>
      </c>
      <c r="B222">
        <f ca="1"/>
        <v>0</v>
      </c>
      <c r="C222">
        <f ca="1"/>
        <v>55</v>
      </c>
      <c r="D222" s="17">
        <f ca="1"/>
        <v>690262.4593567088</v>
      </c>
      <c r="E222" s="17">
        <f ca="1"/>
        <v>7567943.6916852705</v>
      </c>
      <c r="F222">
        <f ca="1"/>
        <v>357.86599999999999</v>
      </c>
      <c r="G222">
        <f ca="1"/>
        <v>0</v>
      </c>
      <c r="H222">
        <f ca="1"/>
        <v>0</v>
      </c>
      <c r="I222" t="str">
        <f ca="1"/>
        <v>MIN NO MERGE</v>
      </c>
      <c r="J222">
        <f ca="1"/>
        <v>28</v>
      </c>
      <c r="K222" t="str">
        <f ca="1"/>
        <v>R-7c</v>
      </c>
      <c r="L222" t="str">
        <f ca="1"/>
        <v>R-7c</v>
      </c>
      <c r="M222">
        <f ca="1"/>
        <v>1</v>
      </c>
      <c r="N222">
        <f ca="1"/>
        <v>1.7632379285749948</v>
      </c>
      <c r="O222">
        <f ca="1"/>
        <v>1.7632379285749948</v>
      </c>
      <c r="P222">
        <f ca="1"/>
        <v>1.7632379285749948</v>
      </c>
      <c r="Q222">
        <f ca="1"/>
        <v>1.5707963267948966</v>
      </c>
      <c r="R222">
        <f ca="1"/>
        <v>690261.17007480003</v>
      </c>
      <c r="S222">
        <f ca="1"/>
        <v>7567943.9294922501</v>
      </c>
      <c r="T222">
        <f ca="1"/>
        <v>357.96600000000001</v>
      </c>
      <c r="U222">
        <f ca="1"/>
        <v>690270.38070888899</v>
      </c>
      <c r="V222">
        <f ca="1"/>
        <v>7567896.6598229604</v>
      </c>
      <c r="W222">
        <f ca="1"/>
        <v>359.226</v>
      </c>
      <c r="X222">
        <f ca="1"/>
        <v>690261.17007480003</v>
      </c>
      <c r="Y222">
        <f ca="1"/>
        <v>7567943.9294922501</v>
      </c>
      <c r="Z222">
        <f ca="1"/>
        <v>357.96600000000001</v>
      </c>
      <c r="AA222">
        <f ca="1"/>
        <v>1</v>
      </c>
      <c r="AB222">
        <f ca="1"/>
        <v>0.9</v>
      </c>
      <c r="AC222">
        <f ca="1"/>
        <v>2.44</v>
      </c>
      <c r="AD222">
        <f ca="1"/>
        <v>1.6</v>
      </c>
      <c r="AE222">
        <f ca="1"/>
        <v>2.44</v>
      </c>
    </row>
    <row r="223" spans="1:31" x14ac:dyDescent="0.25">
      <c r="A223">
        <f ca="1"/>
        <v>222</v>
      </c>
      <c r="B223">
        <f ca="1"/>
        <v>1</v>
      </c>
      <c r="C223">
        <f ca="1"/>
        <v>55</v>
      </c>
      <c r="D223" s="17">
        <f ca="1"/>
        <v>690262.15334712004</v>
      </c>
      <c r="E223" s="17">
        <f ca="1"/>
        <v>7567945.2621495752</v>
      </c>
      <c r="F223">
        <f ca="1"/>
        <v>357.86599999999999</v>
      </c>
      <c r="G223">
        <f ca="1"/>
        <v>0</v>
      </c>
      <c r="H223">
        <f ca="1"/>
        <v>0</v>
      </c>
      <c r="I223" t="str">
        <f ca="1"/>
        <v>MIN NO MERGE</v>
      </c>
      <c r="J223">
        <f ca="1"/>
        <v>28</v>
      </c>
      <c r="K223" t="str">
        <f ca="1"/>
        <v>R-7c</v>
      </c>
      <c r="L223" t="str">
        <f ca="1"/>
        <v>R-7c</v>
      </c>
      <c r="M223">
        <f ca="1"/>
        <v>1</v>
      </c>
      <c r="N223">
        <f ca="1"/>
        <v>1.7632379285749948</v>
      </c>
      <c r="O223">
        <f ca="1"/>
        <v>1.7632379285749948</v>
      </c>
      <c r="P223">
        <f ca="1"/>
        <v>1.7632379285749948</v>
      </c>
      <c r="Q223">
        <f ca="1"/>
        <v>1.5707963267948966</v>
      </c>
      <c r="R223">
        <f ca="1"/>
        <v>690261.17007480003</v>
      </c>
      <c r="S223">
        <f ca="1"/>
        <v>7567943.9294922501</v>
      </c>
      <c r="T223">
        <f ca="1"/>
        <v>357.96600000000001</v>
      </c>
      <c r="U223">
        <f ca="1"/>
        <v>690270.38070888899</v>
      </c>
      <c r="V223">
        <f ca="1"/>
        <v>7567896.6598229604</v>
      </c>
      <c r="W223">
        <f ca="1"/>
        <v>359.226</v>
      </c>
      <c r="X223">
        <f ca="1"/>
        <v>690261.17007480003</v>
      </c>
      <c r="Y223">
        <f ca="1"/>
        <v>7567943.9294922501</v>
      </c>
      <c r="Z223">
        <f ca="1"/>
        <v>357.96600000000001</v>
      </c>
      <c r="AA223">
        <f ca="1"/>
        <v>1</v>
      </c>
      <c r="AB223">
        <f ca="1"/>
        <v>0.9</v>
      </c>
      <c r="AC223">
        <f ca="1"/>
        <v>2.44</v>
      </c>
      <c r="AD223">
        <f ca="1"/>
        <v>1.6</v>
      </c>
      <c r="AE223">
        <f ca="1"/>
        <v>2.44</v>
      </c>
    </row>
    <row r="224" spans="1:31" x14ac:dyDescent="0.25">
      <c r="A224">
        <f ca="1"/>
        <v>223</v>
      </c>
      <c r="B224">
        <f ca="1"/>
        <v>2</v>
      </c>
      <c r="C224">
        <f ca="1"/>
        <v>55</v>
      </c>
      <c r="D224" s="17">
        <f ca="1"/>
        <v>690259.75838905561</v>
      </c>
      <c r="E224" s="17">
        <f ca="1"/>
        <v>7567944.7954849517</v>
      </c>
      <c r="F224">
        <f ca="1"/>
        <v>357.86599999999999</v>
      </c>
      <c r="G224">
        <f ca="1"/>
        <v>0</v>
      </c>
      <c r="H224">
        <f ca="1"/>
        <v>0</v>
      </c>
      <c r="I224" t="str">
        <f ca="1"/>
        <v>MIN NO MERGE</v>
      </c>
      <c r="J224">
        <f ca="1"/>
        <v>28</v>
      </c>
      <c r="K224" t="str">
        <f ca="1"/>
        <v>R-7c</v>
      </c>
      <c r="L224" t="str">
        <f ca="1"/>
        <v>R-7c</v>
      </c>
      <c r="M224">
        <f ca="1"/>
        <v>1</v>
      </c>
      <c r="N224">
        <f ca="1"/>
        <v>1.7632379285749948</v>
      </c>
      <c r="O224">
        <f ca="1"/>
        <v>1.7632379285749948</v>
      </c>
      <c r="P224">
        <f ca="1"/>
        <v>1.7632379285749948</v>
      </c>
      <c r="Q224">
        <f ca="1"/>
        <v>1.5707963267948966</v>
      </c>
      <c r="R224">
        <f ca="1"/>
        <v>690261.17007480003</v>
      </c>
      <c r="S224">
        <f ca="1"/>
        <v>7567943.9294922501</v>
      </c>
      <c r="T224">
        <f ca="1"/>
        <v>357.96600000000001</v>
      </c>
      <c r="U224">
        <f ca="1"/>
        <v>690270.38070888899</v>
      </c>
      <c r="V224">
        <f ca="1"/>
        <v>7567896.6598229604</v>
      </c>
      <c r="W224">
        <f ca="1"/>
        <v>359.226</v>
      </c>
      <c r="X224">
        <f ca="1"/>
        <v>690261.17007480003</v>
      </c>
      <c r="Y224">
        <f ca="1"/>
        <v>7567943.9294922501</v>
      </c>
      <c r="Z224">
        <f ca="1"/>
        <v>357.96600000000001</v>
      </c>
      <c r="AA224">
        <f ca="1"/>
        <v>1</v>
      </c>
      <c r="AB224">
        <f ca="1"/>
        <v>0.9</v>
      </c>
      <c r="AC224">
        <f ca="1"/>
        <v>2.44</v>
      </c>
      <c r="AD224">
        <f ca="1"/>
        <v>1.6</v>
      </c>
      <c r="AE224">
        <f ca="1"/>
        <v>2.44</v>
      </c>
    </row>
    <row r="225" spans="1:31" x14ac:dyDescent="0.25">
      <c r="A225">
        <f ca="1"/>
        <v>224</v>
      </c>
      <c r="B225">
        <f ca="1"/>
        <v>3</v>
      </c>
      <c r="C225">
        <f ca="1"/>
        <v>55</v>
      </c>
      <c r="D225" s="17">
        <f ca="1"/>
        <v>690260.06439864438</v>
      </c>
      <c r="E225" s="17">
        <f ca="1"/>
        <v>7567943.225020647</v>
      </c>
      <c r="F225">
        <f ca="1"/>
        <v>357.86599999999999</v>
      </c>
      <c r="G225">
        <f ca="1"/>
        <v>0</v>
      </c>
      <c r="H225">
        <f ca="1"/>
        <v>0</v>
      </c>
      <c r="I225" t="str">
        <f ca="1"/>
        <v>MIN NO MERGE</v>
      </c>
      <c r="J225">
        <f ca="1"/>
        <v>28</v>
      </c>
      <c r="K225" t="str">
        <f ca="1"/>
        <v>R-7c</v>
      </c>
      <c r="L225" t="str">
        <f ca="1"/>
        <v>R-7c</v>
      </c>
      <c r="M225">
        <f ca="1"/>
        <v>1</v>
      </c>
      <c r="N225">
        <f ca="1"/>
        <v>1.7632379285749948</v>
      </c>
      <c r="O225">
        <f ca="1"/>
        <v>1.7632379285749948</v>
      </c>
      <c r="P225">
        <f ca="1"/>
        <v>1.7632379285749948</v>
      </c>
      <c r="Q225">
        <f ca="1"/>
        <v>1.5707963267948966</v>
      </c>
      <c r="R225">
        <f ca="1"/>
        <v>690261.17007480003</v>
      </c>
      <c r="S225">
        <f ca="1"/>
        <v>7567943.9294922501</v>
      </c>
      <c r="T225">
        <f ca="1"/>
        <v>357.96600000000001</v>
      </c>
      <c r="U225">
        <f ca="1"/>
        <v>690270.38070888899</v>
      </c>
      <c r="V225">
        <f ca="1"/>
        <v>7567896.6598229604</v>
      </c>
      <c r="W225">
        <f ca="1"/>
        <v>359.226</v>
      </c>
      <c r="X225">
        <f ca="1"/>
        <v>690261.17007480003</v>
      </c>
      <c r="Y225">
        <f ca="1"/>
        <v>7567943.9294922501</v>
      </c>
      <c r="Z225">
        <f ca="1"/>
        <v>357.96600000000001</v>
      </c>
      <c r="AA225">
        <f ca="1"/>
        <v>1</v>
      </c>
      <c r="AB225">
        <f ca="1"/>
        <v>0.9</v>
      </c>
      <c r="AC225">
        <f ca="1"/>
        <v>2.44</v>
      </c>
      <c r="AD225">
        <f ca="1"/>
        <v>1.6</v>
      </c>
      <c r="AE225">
        <f ca="1"/>
        <v>2.44</v>
      </c>
    </row>
    <row r="226" spans="1:31" x14ac:dyDescent="0.25">
      <c r="A226">
        <f ca="1"/>
        <v>225</v>
      </c>
      <c r="B226">
        <f ca="1"/>
        <v>0</v>
      </c>
      <c r="C226">
        <f ca="1"/>
        <v>56</v>
      </c>
      <c r="D226" s="17">
        <f ca="1"/>
        <v>691273.76640839828</v>
      </c>
      <c r="E226" s="17">
        <f ca="1"/>
        <v>7569098.3038931461</v>
      </c>
      <c r="F226">
        <f ca="1"/>
        <v>352.58203735351498</v>
      </c>
      <c r="G226">
        <f ca="1"/>
        <v>0</v>
      </c>
      <c r="H226">
        <f ca="1"/>
        <v>0</v>
      </c>
      <c r="I226" t="str">
        <f ca="1"/>
        <v>MIN NO MERGE</v>
      </c>
      <c r="J226">
        <f ca="1"/>
        <v>29</v>
      </c>
      <c r="K226" t="str">
        <f ca="1"/>
        <v>R-8</v>
      </c>
      <c r="L226" t="str">
        <f ca="1"/>
        <v>R-8</v>
      </c>
      <c r="M226">
        <f ca="1"/>
        <v>0</v>
      </c>
      <c r="N226">
        <f ca="1"/>
        <v>-0.51305790936223161</v>
      </c>
      <c r="O226">
        <f ca="1"/>
        <v>-0.51305790936223161</v>
      </c>
      <c r="P226">
        <f ca="1"/>
        <v>2.6285347442275624</v>
      </c>
      <c r="Q226">
        <f ca="1"/>
        <v>1.5707963267948966</v>
      </c>
      <c r="R226">
        <f ca="1"/>
        <v>691279.20103022002</v>
      </c>
      <c r="S226">
        <f ca="1"/>
        <v>7569106.97243891</v>
      </c>
      <c r="T226">
        <f ca="1"/>
        <v>352.682037353515</v>
      </c>
      <c r="U226">
        <f ca="1"/>
        <v>691279.20103022002</v>
      </c>
      <c r="V226">
        <f ca="1"/>
        <v>7569106.97243891</v>
      </c>
      <c r="W226">
        <f ca="1"/>
        <v>352.682037353515</v>
      </c>
      <c r="X226">
        <f ca="1"/>
        <v>691252.82407464599</v>
      </c>
      <c r="Y226">
        <f ca="1"/>
        <v>7569121.8326955698</v>
      </c>
      <c r="Z226">
        <f ca="1"/>
        <v>352.22879028320301</v>
      </c>
      <c r="AA226">
        <f ca="1"/>
        <v>9</v>
      </c>
      <c r="AB226">
        <f ca="1"/>
        <v>1.5</v>
      </c>
      <c r="AC226">
        <f ca="1"/>
        <v>20.439999999999998</v>
      </c>
      <c r="AD226">
        <f ca="1"/>
        <v>1.6</v>
      </c>
      <c r="AE226">
        <f ca="1"/>
        <v>20.439999999999998</v>
      </c>
    </row>
    <row r="227" spans="1:31" x14ac:dyDescent="0.25">
      <c r="A227">
        <f ca="1"/>
        <v>226</v>
      </c>
      <c r="B227">
        <f ca="1"/>
        <v>1</v>
      </c>
      <c r="C227">
        <f ca="1"/>
        <v>56</v>
      </c>
      <c r="D227" s="17">
        <f ca="1"/>
        <v>691275.16040460276</v>
      </c>
      <c r="E227" s="17">
        <f ca="1"/>
        <v>7569097.5185431717</v>
      </c>
      <c r="F227">
        <f ca="1"/>
        <v>352.58203735351498</v>
      </c>
      <c r="G227">
        <f ca="1"/>
        <v>0</v>
      </c>
      <c r="H227">
        <f ca="1"/>
        <v>0</v>
      </c>
      <c r="I227" t="str">
        <f ca="1"/>
        <v>MIN NO MERGE</v>
      </c>
      <c r="J227">
        <f ca="1"/>
        <v>29</v>
      </c>
      <c r="K227" t="str">
        <f ca="1"/>
        <v>R-8</v>
      </c>
      <c r="L227" t="str">
        <f ca="1"/>
        <v>R-8</v>
      </c>
      <c r="M227">
        <f ca="1"/>
        <v>0</v>
      </c>
      <c r="N227">
        <f ca="1"/>
        <v>-0.51305790936223161</v>
      </c>
      <c r="O227">
        <f ca="1"/>
        <v>-0.51305790936223161</v>
      </c>
      <c r="P227">
        <f ca="1"/>
        <v>2.6285347442275624</v>
      </c>
      <c r="Q227">
        <f ca="1"/>
        <v>1.5707963267948966</v>
      </c>
      <c r="R227">
        <f ca="1"/>
        <v>691279.20103022002</v>
      </c>
      <c r="S227">
        <f ca="1"/>
        <v>7569106.97243891</v>
      </c>
      <c r="T227">
        <f ca="1"/>
        <v>352.682037353515</v>
      </c>
      <c r="U227">
        <f ca="1"/>
        <v>691279.20103022002</v>
      </c>
      <c r="V227">
        <f ca="1"/>
        <v>7569106.97243891</v>
      </c>
      <c r="W227">
        <f ca="1"/>
        <v>352.682037353515</v>
      </c>
      <c r="X227">
        <f ca="1"/>
        <v>691252.82407464599</v>
      </c>
      <c r="Y227">
        <f ca="1"/>
        <v>7569121.8326955698</v>
      </c>
      <c r="Z227">
        <f ca="1"/>
        <v>352.22879028320301</v>
      </c>
      <c r="AA227">
        <f ca="1"/>
        <v>9</v>
      </c>
      <c r="AB227">
        <f ca="1"/>
        <v>1.5</v>
      </c>
      <c r="AC227">
        <f ca="1"/>
        <v>20.439999999999998</v>
      </c>
      <c r="AD227">
        <f ca="1"/>
        <v>1.6</v>
      </c>
      <c r="AE227">
        <f ca="1"/>
        <v>20.439999999999998</v>
      </c>
    </row>
    <row r="228" spans="1:31" x14ac:dyDescent="0.25">
      <c r="A228">
        <f ca="1"/>
        <v>227</v>
      </c>
      <c r="B228">
        <f ca="1"/>
        <v>2</v>
      </c>
      <c r="C228">
        <f ca="1"/>
        <v>56</v>
      </c>
      <c r="D228" s="17">
        <f ca="1"/>
        <v>691285.19325052365</v>
      </c>
      <c r="E228" s="17">
        <f ca="1"/>
        <v>7569115.3268446838</v>
      </c>
      <c r="F228">
        <f ca="1"/>
        <v>352.58203735351498</v>
      </c>
      <c r="G228">
        <f ca="1"/>
        <v>0</v>
      </c>
      <c r="H228">
        <f ca="1"/>
        <v>0</v>
      </c>
      <c r="I228" t="str">
        <f ca="1"/>
        <v>MIN NO MERGE</v>
      </c>
      <c r="J228">
        <f ca="1"/>
        <v>29</v>
      </c>
      <c r="K228" t="str">
        <f ca="1"/>
        <v>R-8</v>
      </c>
      <c r="L228" t="str">
        <f ca="1"/>
        <v>R-8</v>
      </c>
      <c r="M228">
        <f ca="1"/>
        <v>0</v>
      </c>
      <c r="N228">
        <f ca="1"/>
        <v>-0.51305790936223161</v>
      </c>
      <c r="O228">
        <f ca="1"/>
        <v>-0.51305790936223161</v>
      </c>
      <c r="P228">
        <f ca="1"/>
        <v>2.6285347442275624</v>
      </c>
      <c r="Q228">
        <f ca="1"/>
        <v>1.5707963267948966</v>
      </c>
      <c r="R228">
        <f ca="1"/>
        <v>691279.20103022002</v>
      </c>
      <c r="S228">
        <f ca="1"/>
        <v>7569106.97243891</v>
      </c>
      <c r="T228">
        <f ca="1"/>
        <v>352.682037353515</v>
      </c>
      <c r="U228">
        <f ca="1"/>
        <v>691279.20103022002</v>
      </c>
      <c r="V228">
        <f ca="1"/>
        <v>7569106.97243891</v>
      </c>
      <c r="W228">
        <f ca="1"/>
        <v>352.682037353515</v>
      </c>
      <c r="X228">
        <f ca="1"/>
        <v>691252.82407464599</v>
      </c>
      <c r="Y228">
        <f ca="1"/>
        <v>7569121.8326955698</v>
      </c>
      <c r="Z228">
        <f ca="1"/>
        <v>352.22879028320301</v>
      </c>
      <c r="AA228">
        <f ca="1"/>
        <v>9</v>
      </c>
      <c r="AB228">
        <f ca="1"/>
        <v>1.5</v>
      </c>
      <c r="AC228">
        <f ca="1"/>
        <v>20.439999999999998</v>
      </c>
      <c r="AD228">
        <f ca="1"/>
        <v>1.6</v>
      </c>
      <c r="AE228">
        <f ca="1"/>
        <v>20.439999999999998</v>
      </c>
    </row>
    <row r="229" spans="1:31" x14ac:dyDescent="0.25">
      <c r="A229">
        <f ca="1"/>
        <v>228</v>
      </c>
      <c r="B229">
        <f ca="1"/>
        <v>3</v>
      </c>
      <c r="C229">
        <f ca="1"/>
        <v>56</v>
      </c>
      <c r="D229" s="17">
        <f ca="1"/>
        <v>691283.79925431916</v>
      </c>
      <c r="E229" s="17">
        <f ca="1"/>
        <v>7569116.1121946583</v>
      </c>
      <c r="F229">
        <f ca="1"/>
        <v>352.58203735351498</v>
      </c>
      <c r="G229">
        <f ca="1"/>
        <v>0</v>
      </c>
      <c r="H229">
        <f ca="1"/>
        <v>0</v>
      </c>
      <c r="I229" t="str">
        <f ca="1"/>
        <v>MIN NO MERGE</v>
      </c>
      <c r="J229">
        <f ca="1"/>
        <v>29</v>
      </c>
      <c r="K229" t="str">
        <f ca="1"/>
        <v>R-8</v>
      </c>
      <c r="L229" t="str">
        <f ca="1"/>
        <v>R-8</v>
      </c>
      <c r="M229">
        <f ca="1"/>
        <v>0</v>
      </c>
      <c r="N229">
        <f ca="1"/>
        <v>-0.51305790936223161</v>
      </c>
      <c r="O229">
        <f ca="1"/>
        <v>-0.51305790936223161</v>
      </c>
      <c r="P229">
        <f ca="1"/>
        <v>2.6285347442275624</v>
      </c>
      <c r="Q229">
        <f ca="1"/>
        <v>1.5707963267948966</v>
      </c>
      <c r="R229">
        <f ca="1"/>
        <v>691279.20103022002</v>
      </c>
      <c r="S229">
        <f ca="1"/>
        <v>7569106.97243891</v>
      </c>
      <c r="T229">
        <f ca="1"/>
        <v>352.682037353515</v>
      </c>
      <c r="U229">
        <f ca="1"/>
        <v>691279.20103022002</v>
      </c>
      <c r="V229">
        <f ca="1"/>
        <v>7569106.97243891</v>
      </c>
      <c r="W229">
        <f ca="1"/>
        <v>352.682037353515</v>
      </c>
      <c r="X229">
        <f ca="1"/>
        <v>691252.82407464599</v>
      </c>
      <c r="Y229">
        <f ca="1"/>
        <v>7569121.8326955698</v>
      </c>
      <c r="Z229">
        <f ca="1"/>
        <v>352.22879028320301</v>
      </c>
      <c r="AA229">
        <f ca="1"/>
        <v>9</v>
      </c>
      <c r="AB229">
        <f ca="1"/>
        <v>1.5</v>
      </c>
      <c r="AC229">
        <f ca="1"/>
        <v>20.439999999999998</v>
      </c>
      <c r="AD229">
        <f ca="1"/>
        <v>1.6</v>
      </c>
      <c r="AE229">
        <f ca="1"/>
        <v>20.439999999999998</v>
      </c>
    </row>
    <row r="230" spans="1:31" x14ac:dyDescent="0.25">
      <c r="A230">
        <f ca="1"/>
        <v>229</v>
      </c>
      <c r="B230">
        <f ca="1"/>
        <v>0</v>
      </c>
      <c r="C230">
        <f ca="1"/>
        <v>57</v>
      </c>
      <c r="D230" s="17">
        <f ca="1"/>
        <v>691258.25869646773</v>
      </c>
      <c r="E230" s="17">
        <f ca="1"/>
        <v>7569130.5012413338</v>
      </c>
      <c r="F230">
        <f ca="1"/>
        <v>352.12879028320299</v>
      </c>
      <c r="G230">
        <f ca="1"/>
        <v>0</v>
      </c>
      <c r="H230">
        <f ca="1"/>
        <v>0</v>
      </c>
      <c r="I230" t="str">
        <f ca="1"/>
        <v>MIN NO MERGE</v>
      </c>
      <c r="J230">
        <f ca="1"/>
        <v>29</v>
      </c>
      <c r="K230" t="str">
        <f ca="1"/>
        <v>R-8</v>
      </c>
      <c r="L230" t="str">
        <f ca="1"/>
        <v>R-8</v>
      </c>
      <c r="M230">
        <f ca="1"/>
        <v>1</v>
      </c>
      <c r="N230">
        <f ca="1"/>
        <v>2.6285347442275624</v>
      </c>
      <c r="O230">
        <f ca="1"/>
        <v>2.6285347442275624</v>
      </c>
      <c r="P230">
        <f ca="1"/>
        <v>2.6285347442275624</v>
      </c>
      <c r="Q230">
        <f ca="1"/>
        <v>1.5707963267948966</v>
      </c>
      <c r="R230">
        <f ca="1"/>
        <v>691252.82407464599</v>
      </c>
      <c r="S230">
        <f ca="1"/>
        <v>7569121.8326955698</v>
      </c>
      <c r="T230">
        <f ca="1"/>
        <v>352.22879028320301</v>
      </c>
      <c r="U230">
        <f ca="1"/>
        <v>691279.20103022002</v>
      </c>
      <c r="V230">
        <f ca="1"/>
        <v>7569106.97243891</v>
      </c>
      <c r="W230">
        <f ca="1"/>
        <v>352.682037353515</v>
      </c>
      <c r="X230">
        <f ca="1"/>
        <v>691252.82407464599</v>
      </c>
      <c r="Y230">
        <f ca="1"/>
        <v>7569121.8326955698</v>
      </c>
      <c r="Z230">
        <f ca="1"/>
        <v>352.22879028320301</v>
      </c>
      <c r="AA230">
        <f ca="1"/>
        <v>9</v>
      </c>
      <c r="AB230">
        <f ca="1"/>
        <v>1.5</v>
      </c>
      <c r="AC230">
        <f ca="1"/>
        <v>20.439999999999998</v>
      </c>
      <c r="AD230">
        <f ca="1"/>
        <v>1.6</v>
      </c>
      <c r="AE230">
        <f ca="1"/>
        <v>20.439999999999998</v>
      </c>
    </row>
    <row r="231" spans="1:31" x14ac:dyDescent="0.25">
      <c r="A231">
        <f ca="1"/>
        <v>230</v>
      </c>
      <c r="B231">
        <f ca="1"/>
        <v>1</v>
      </c>
      <c r="C231">
        <f ca="1"/>
        <v>57</v>
      </c>
      <c r="D231" s="17">
        <f ca="1"/>
        <v>691256.86470026325</v>
      </c>
      <c r="E231" s="17">
        <f ca="1"/>
        <v>7569131.2865913082</v>
      </c>
      <c r="F231">
        <f ca="1"/>
        <v>352.12879028320299</v>
      </c>
      <c r="G231">
        <f ca="1"/>
        <v>0</v>
      </c>
      <c r="H231">
        <f ca="1"/>
        <v>0</v>
      </c>
      <c r="I231" t="str">
        <f ca="1"/>
        <v>MIN NO MERGE</v>
      </c>
      <c r="J231">
        <f ca="1"/>
        <v>29</v>
      </c>
      <c r="K231" t="str">
        <f ca="1"/>
        <v>R-8</v>
      </c>
      <c r="L231" t="str">
        <f ca="1"/>
        <v>R-8</v>
      </c>
      <c r="M231">
        <f ca="1"/>
        <v>1</v>
      </c>
      <c r="N231">
        <f ca="1"/>
        <v>2.6285347442275624</v>
      </c>
      <c r="O231">
        <f ca="1"/>
        <v>2.6285347442275624</v>
      </c>
      <c r="P231">
        <f ca="1"/>
        <v>2.6285347442275624</v>
      </c>
      <c r="Q231">
        <f ca="1"/>
        <v>1.5707963267948966</v>
      </c>
      <c r="R231">
        <f ca="1"/>
        <v>691252.82407464599</v>
      </c>
      <c r="S231">
        <f ca="1"/>
        <v>7569121.8326955698</v>
      </c>
      <c r="T231">
        <f ca="1"/>
        <v>352.22879028320301</v>
      </c>
      <c r="U231">
        <f ca="1"/>
        <v>691279.20103022002</v>
      </c>
      <c r="V231">
        <f ca="1"/>
        <v>7569106.97243891</v>
      </c>
      <c r="W231">
        <f ca="1"/>
        <v>352.682037353515</v>
      </c>
      <c r="X231">
        <f ca="1"/>
        <v>691252.82407464599</v>
      </c>
      <c r="Y231">
        <f ca="1"/>
        <v>7569121.8326955698</v>
      </c>
      <c r="Z231">
        <f ca="1"/>
        <v>352.22879028320301</v>
      </c>
      <c r="AA231">
        <f ca="1"/>
        <v>9</v>
      </c>
      <c r="AB231">
        <f ca="1"/>
        <v>1.5</v>
      </c>
      <c r="AC231">
        <f ca="1"/>
        <v>20.439999999999998</v>
      </c>
      <c r="AD231">
        <f ca="1"/>
        <v>1.6</v>
      </c>
      <c r="AE231">
        <f ca="1"/>
        <v>20.439999999999998</v>
      </c>
    </row>
    <row r="232" spans="1:31" x14ac:dyDescent="0.25">
      <c r="A232">
        <f ca="1"/>
        <v>231</v>
      </c>
      <c r="B232">
        <f ca="1"/>
        <v>2</v>
      </c>
      <c r="C232">
        <f ca="1"/>
        <v>57</v>
      </c>
      <c r="D232" s="17">
        <f ca="1"/>
        <v>691246.83185434237</v>
      </c>
      <c r="E232" s="17">
        <f ca="1"/>
        <v>7569113.478289796</v>
      </c>
      <c r="F232">
        <f ca="1"/>
        <v>352.12879028320299</v>
      </c>
      <c r="G232">
        <f ca="1"/>
        <v>0</v>
      </c>
      <c r="H232">
        <f ca="1"/>
        <v>0</v>
      </c>
      <c r="I232" t="str">
        <f ca="1"/>
        <v>MIN NO MERGE</v>
      </c>
      <c r="J232">
        <f ca="1"/>
        <v>29</v>
      </c>
      <c r="K232" t="str">
        <f ca="1"/>
        <v>R-8</v>
      </c>
      <c r="L232" t="str">
        <f ca="1"/>
        <v>R-8</v>
      </c>
      <c r="M232">
        <f ca="1"/>
        <v>1</v>
      </c>
      <c r="N232">
        <f ca="1"/>
        <v>2.6285347442275624</v>
      </c>
      <c r="O232">
        <f ca="1"/>
        <v>2.6285347442275624</v>
      </c>
      <c r="P232">
        <f ca="1"/>
        <v>2.6285347442275624</v>
      </c>
      <c r="Q232">
        <f ca="1"/>
        <v>1.5707963267948966</v>
      </c>
      <c r="R232">
        <f ca="1"/>
        <v>691252.82407464599</v>
      </c>
      <c r="S232">
        <f ca="1"/>
        <v>7569121.8326955698</v>
      </c>
      <c r="T232">
        <f ca="1"/>
        <v>352.22879028320301</v>
      </c>
      <c r="U232">
        <f ca="1"/>
        <v>691279.20103022002</v>
      </c>
      <c r="V232">
        <f ca="1"/>
        <v>7569106.97243891</v>
      </c>
      <c r="W232">
        <f ca="1"/>
        <v>352.682037353515</v>
      </c>
      <c r="X232">
        <f ca="1"/>
        <v>691252.82407464599</v>
      </c>
      <c r="Y232">
        <f ca="1"/>
        <v>7569121.8326955698</v>
      </c>
      <c r="Z232">
        <f ca="1"/>
        <v>352.22879028320301</v>
      </c>
      <c r="AA232">
        <f ca="1"/>
        <v>9</v>
      </c>
      <c r="AB232">
        <f ca="1"/>
        <v>1.5</v>
      </c>
      <c r="AC232">
        <f ca="1"/>
        <v>20.439999999999998</v>
      </c>
      <c r="AD232">
        <f ca="1"/>
        <v>1.6</v>
      </c>
      <c r="AE232">
        <f ca="1"/>
        <v>20.439999999999998</v>
      </c>
    </row>
    <row r="233" spans="1:31" x14ac:dyDescent="0.25">
      <c r="A233">
        <f ca="1"/>
        <v>232</v>
      </c>
      <c r="B233">
        <f ca="1"/>
        <v>3</v>
      </c>
      <c r="C233">
        <f ca="1"/>
        <v>57</v>
      </c>
      <c r="D233" s="17">
        <f ca="1"/>
        <v>691248.22585054685</v>
      </c>
      <c r="E233" s="17">
        <f ca="1"/>
        <v>7569112.6929398216</v>
      </c>
      <c r="F233">
        <f ca="1"/>
        <v>352.12879028320299</v>
      </c>
      <c r="G233">
        <f ca="1"/>
        <v>0</v>
      </c>
      <c r="H233">
        <f ca="1"/>
        <v>0</v>
      </c>
      <c r="I233" t="str">
        <f ca="1"/>
        <v>MIN NO MERGE</v>
      </c>
      <c r="J233">
        <f ca="1"/>
        <v>29</v>
      </c>
      <c r="K233" t="str">
        <f ca="1"/>
        <v>R-8</v>
      </c>
      <c r="L233" t="str">
        <f ca="1"/>
        <v>R-8</v>
      </c>
      <c r="M233">
        <f ca="1"/>
        <v>1</v>
      </c>
      <c r="N233">
        <f ca="1"/>
        <v>2.6285347442275624</v>
      </c>
      <c r="O233">
        <f ca="1"/>
        <v>2.6285347442275624</v>
      </c>
      <c r="P233">
        <f ca="1"/>
        <v>2.6285347442275624</v>
      </c>
      <c r="Q233">
        <f ca="1"/>
        <v>1.5707963267948966</v>
      </c>
      <c r="R233">
        <f ca="1"/>
        <v>691252.82407464599</v>
      </c>
      <c r="S233">
        <f ca="1"/>
        <v>7569121.8326955698</v>
      </c>
      <c r="T233">
        <f ca="1"/>
        <v>352.22879028320301</v>
      </c>
      <c r="U233">
        <f ca="1"/>
        <v>691279.20103022002</v>
      </c>
      <c r="V233">
        <f ca="1"/>
        <v>7569106.97243891</v>
      </c>
      <c r="W233">
        <f ca="1"/>
        <v>352.682037353515</v>
      </c>
      <c r="X233">
        <f ca="1"/>
        <v>691252.82407464599</v>
      </c>
      <c r="Y233">
        <f ca="1"/>
        <v>7569121.8326955698</v>
      </c>
      <c r="Z233">
        <f ca="1"/>
        <v>352.22879028320301</v>
      </c>
      <c r="AA233">
        <f ca="1"/>
        <v>9</v>
      </c>
      <c r="AB233">
        <f ca="1"/>
        <v>1.5</v>
      </c>
      <c r="AC233">
        <f ca="1"/>
        <v>20.439999999999998</v>
      </c>
      <c r="AD233">
        <f ca="1"/>
        <v>1.6</v>
      </c>
      <c r="AE233">
        <f ca="1"/>
        <v>20.439999999999998</v>
      </c>
    </row>
    <row r="234" spans="1:31" x14ac:dyDescent="0.25">
      <c r="A234">
        <f ca="1"/>
        <v>233</v>
      </c>
      <c r="B234">
        <f ca="1"/>
        <v>0</v>
      </c>
      <c r="C234">
        <f ca="1"/>
        <v>58</v>
      </c>
      <c r="D234" s="17">
        <f ca="1"/>
        <v>691506.19073792046</v>
      </c>
      <c r="E234" s="17">
        <f ca="1"/>
        <v>7569386.3482368318</v>
      </c>
      <c r="F234">
        <f ca="1"/>
        <v>353.955480957031</v>
      </c>
      <c r="G234">
        <f ca="1"/>
        <v>0</v>
      </c>
      <c r="H234">
        <f ca="1"/>
        <v>0</v>
      </c>
      <c r="I234" t="str">
        <f ca="1"/>
        <v>MIN NO MERGE</v>
      </c>
      <c r="J234">
        <f ca="1"/>
        <v>30</v>
      </c>
      <c r="K234" t="str">
        <f ca="1"/>
        <v>R-9</v>
      </c>
      <c r="L234" t="str">
        <f ca="1"/>
        <v>R-9</v>
      </c>
      <c r="M234">
        <f ca="1"/>
        <v>0</v>
      </c>
      <c r="N234">
        <f ca="1"/>
        <v>-0.42459784536441525</v>
      </c>
      <c r="O234">
        <f ca="1"/>
        <v>-0.42459784536441525</v>
      </c>
      <c r="P234">
        <f ca="1"/>
        <v>2.7169948082253779</v>
      </c>
      <c r="Q234">
        <f ca="1"/>
        <v>1.5707963267948966</v>
      </c>
      <c r="R234">
        <f ca="1"/>
        <v>691507.72391469299</v>
      </c>
      <c r="S234">
        <f ca="1"/>
        <v>7569388.5743026398</v>
      </c>
      <c r="T234">
        <f ca="1"/>
        <v>354.05548095703102</v>
      </c>
      <c r="U234">
        <f ca="1"/>
        <v>691507.72391469299</v>
      </c>
      <c r="V234">
        <f ca="1"/>
        <v>7569388.5743026398</v>
      </c>
      <c r="W234">
        <f ca="1"/>
        <v>354.05548095703102</v>
      </c>
      <c r="X234">
        <f ca="1"/>
        <v>691479.22176939005</v>
      </c>
      <c r="Y234">
        <f ca="1"/>
        <v>7569401.4600858204</v>
      </c>
      <c r="Z234">
        <f ca="1"/>
        <v>353.73797607421801</v>
      </c>
      <c r="AA234">
        <f ca="1"/>
        <v>3</v>
      </c>
      <c r="AB234">
        <f ca="1"/>
        <v>0.9</v>
      </c>
      <c r="AC234">
        <f ca="1"/>
        <v>5.3199999999999994</v>
      </c>
      <c r="AD234">
        <f ca="1"/>
        <v>1.6</v>
      </c>
      <c r="AE234">
        <f ca="1"/>
        <v>5.3199999999999994</v>
      </c>
    </row>
    <row r="235" spans="1:31" x14ac:dyDescent="0.25">
      <c r="A235">
        <f ca="1"/>
        <v>234</v>
      </c>
      <c r="B235">
        <f ca="1"/>
        <v>1</v>
      </c>
      <c r="C235">
        <f ca="1"/>
        <v>58</v>
      </c>
      <c r="D235" s="17">
        <f ca="1"/>
        <v>691507.64866508206</v>
      </c>
      <c r="E235" s="17">
        <f ca="1"/>
        <v>7569385.6891098395</v>
      </c>
      <c r="F235">
        <f ca="1"/>
        <v>353.955480957031</v>
      </c>
      <c r="G235">
        <f ca="1"/>
        <v>0</v>
      </c>
      <c r="H235">
        <f ca="1"/>
        <v>0</v>
      </c>
      <c r="I235" t="str">
        <f ca="1"/>
        <v>MIN NO MERGE</v>
      </c>
      <c r="J235">
        <f ca="1"/>
        <v>30</v>
      </c>
      <c r="K235" t="str">
        <f ca="1"/>
        <v>R-9</v>
      </c>
      <c r="L235" t="str">
        <f ca="1"/>
        <v>R-9</v>
      </c>
      <c r="M235">
        <f ca="1"/>
        <v>0</v>
      </c>
      <c r="N235">
        <f ca="1"/>
        <v>-0.42459784536441525</v>
      </c>
      <c r="O235">
        <f ca="1"/>
        <v>-0.42459784536441525</v>
      </c>
      <c r="P235">
        <f ca="1"/>
        <v>2.7169948082253779</v>
      </c>
      <c r="Q235">
        <f ca="1"/>
        <v>1.5707963267948966</v>
      </c>
      <c r="R235">
        <f ca="1"/>
        <v>691507.72391469299</v>
      </c>
      <c r="S235">
        <f ca="1"/>
        <v>7569388.5743026398</v>
      </c>
      <c r="T235">
        <f ca="1"/>
        <v>354.05548095703102</v>
      </c>
      <c r="U235">
        <f ca="1"/>
        <v>691507.72391469299</v>
      </c>
      <c r="V235">
        <f ca="1"/>
        <v>7569388.5743026398</v>
      </c>
      <c r="W235">
        <f ca="1"/>
        <v>354.05548095703102</v>
      </c>
      <c r="X235">
        <f ca="1"/>
        <v>691479.22176939005</v>
      </c>
      <c r="Y235">
        <f ca="1"/>
        <v>7569401.4600858204</v>
      </c>
      <c r="Z235">
        <f ca="1"/>
        <v>353.73797607421801</v>
      </c>
      <c r="AA235">
        <f ca="1"/>
        <v>3</v>
      </c>
      <c r="AB235">
        <f ca="1"/>
        <v>0.9</v>
      </c>
      <c r="AC235">
        <f ca="1"/>
        <v>5.3199999999999994</v>
      </c>
      <c r="AD235">
        <f ca="1"/>
        <v>1.6</v>
      </c>
      <c r="AE235">
        <f ca="1"/>
        <v>5.3199999999999994</v>
      </c>
    </row>
    <row r="236" spans="1:31" x14ac:dyDescent="0.25">
      <c r="A236">
        <f ca="1"/>
        <v>235</v>
      </c>
      <c r="B236">
        <f ca="1"/>
        <v>2</v>
      </c>
      <c r="C236">
        <f ca="1"/>
        <v>58</v>
      </c>
      <c r="D236" s="17">
        <f ca="1"/>
        <v>691509.84026233025</v>
      </c>
      <c r="E236" s="17">
        <f ca="1"/>
        <v>7569390.5367176514</v>
      </c>
      <c r="F236">
        <f ca="1"/>
        <v>353.955480957031</v>
      </c>
      <c r="G236">
        <f ca="1"/>
        <v>0</v>
      </c>
      <c r="H236">
        <f ca="1"/>
        <v>0</v>
      </c>
      <c r="I236" t="str">
        <f ca="1"/>
        <v>MIN NO MERGE</v>
      </c>
      <c r="J236">
        <f ca="1"/>
        <v>30</v>
      </c>
      <c r="K236" t="str">
        <f ca="1"/>
        <v>R-9</v>
      </c>
      <c r="L236" t="str">
        <f ca="1"/>
        <v>R-9</v>
      </c>
      <c r="M236">
        <f ca="1"/>
        <v>0</v>
      </c>
      <c r="N236">
        <f ca="1"/>
        <v>-0.42459784536441525</v>
      </c>
      <c r="O236">
        <f ca="1"/>
        <v>-0.42459784536441525</v>
      </c>
      <c r="P236">
        <f ca="1"/>
        <v>2.7169948082253779</v>
      </c>
      <c r="Q236">
        <f ca="1"/>
        <v>1.5707963267948966</v>
      </c>
      <c r="R236">
        <f ca="1"/>
        <v>691507.72391469299</v>
      </c>
      <c r="S236">
        <f ca="1"/>
        <v>7569388.5743026398</v>
      </c>
      <c r="T236">
        <f ca="1"/>
        <v>354.05548095703102</v>
      </c>
      <c r="U236">
        <f ca="1"/>
        <v>691507.72391469299</v>
      </c>
      <c r="V236">
        <f ca="1"/>
        <v>7569388.5743026398</v>
      </c>
      <c r="W236">
        <f ca="1"/>
        <v>354.05548095703102</v>
      </c>
      <c r="X236">
        <f ca="1"/>
        <v>691479.22176939005</v>
      </c>
      <c r="Y236">
        <f ca="1"/>
        <v>7569401.4600858204</v>
      </c>
      <c r="Z236">
        <f ca="1"/>
        <v>353.73797607421801</v>
      </c>
      <c r="AA236">
        <f ca="1"/>
        <v>3</v>
      </c>
      <c r="AB236">
        <f ca="1"/>
        <v>0.9</v>
      </c>
      <c r="AC236">
        <f ca="1"/>
        <v>5.3199999999999994</v>
      </c>
      <c r="AD236">
        <f ca="1"/>
        <v>1.6</v>
      </c>
      <c r="AE236">
        <f ca="1"/>
        <v>5.3199999999999994</v>
      </c>
    </row>
    <row r="237" spans="1:31" x14ac:dyDescent="0.25">
      <c r="A237">
        <f ca="1"/>
        <v>236</v>
      </c>
      <c r="B237">
        <f ca="1"/>
        <v>3</v>
      </c>
      <c r="C237">
        <f ca="1"/>
        <v>58</v>
      </c>
      <c r="D237" s="17">
        <f ca="1"/>
        <v>691508.38233516866</v>
      </c>
      <c r="E237" s="17">
        <f ca="1"/>
        <v>7569391.1958446437</v>
      </c>
      <c r="F237">
        <f ca="1"/>
        <v>353.955480957031</v>
      </c>
      <c r="G237">
        <f ca="1"/>
        <v>0</v>
      </c>
      <c r="H237">
        <f ca="1"/>
        <v>0</v>
      </c>
      <c r="I237" t="str">
        <f ca="1"/>
        <v>MIN NO MERGE</v>
      </c>
      <c r="J237">
        <f ca="1"/>
        <v>30</v>
      </c>
      <c r="K237" t="str">
        <f ca="1"/>
        <v>R-9</v>
      </c>
      <c r="L237" t="str">
        <f ca="1"/>
        <v>R-9</v>
      </c>
      <c r="M237">
        <f ca="1"/>
        <v>0</v>
      </c>
      <c r="N237">
        <f ca="1"/>
        <v>-0.42459784536441525</v>
      </c>
      <c r="O237">
        <f ca="1"/>
        <v>-0.42459784536441525</v>
      </c>
      <c r="P237">
        <f ca="1"/>
        <v>2.7169948082253779</v>
      </c>
      <c r="Q237">
        <f ca="1"/>
        <v>1.5707963267948966</v>
      </c>
      <c r="R237">
        <f ca="1"/>
        <v>691507.72391469299</v>
      </c>
      <c r="S237">
        <f ca="1"/>
        <v>7569388.5743026398</v>
      </c>
      <c r="T237">
        <f ca="1"/>
        <v>354.05548095703102</v>
      </c>
      <c r="U237">
        <f ca="1"/>
        <v>691507.72391469299</v>
      </c>
      <c r="V237">
        <f ca="1"/>
        <v>7569388.5743026398</v>
      </c>
      <c r="W237">
        <f ca="1"/>
        <v>354.05548095703102</v>
      </c>
      <c r="X237">
        <f ca="1"/>
        <v>691479.22176939005</v>
      </c>
      <c r="Y237">
        <f ca="1"/>
        <v>7569401.4600858204</v>
      </c>
      <c r="Z237">
        <f ca="1"/>
        <v>353.73797607421801</v>
      </c>
      <c r="AA237">
        <f ca="1"/>
        <v>3</v>
      </c>
      <c r="AB237">
        <f ca="1"/>
        <v>0.9</v>
      </c>
      <c r="AC237">
        <f ca="1"/>
        <v>5.3199999999999994</v>
      </c>
      <c r="AD237">
        <f ca="1"/>
        <v>1.6</v>
      </c>
      <c r="AE237">
        <f ca="1"/>
        <v>5.3199999999999994</v>
      </c>
    </row>
    <row r="238" spans="1:31" x14ac:dyDescent="0.25">
      <c r="A238">
        <f ca="1"/>
        <v>237</v>
      </c>
      <c r="B238">
        <f ca="1"/>
        <v>0</v>
      </c>
      <c r="C238">
        <f ca="1"/>
        <v>59</v>
      </c>
      <c r="D238" s="17">
        <f ca="1"/>
        <v>691480.75494616257</v>
      </c>
      <c r="E238" s="17">
        <f ca="1"/>
        <v>7569403.6861516284</v>
      </c>
      <c r="F238">
        <f ca="1"/>
        <v>353.63797607421799</v>
      </c>
      <c r="G238">
        <f ca="1"/>
        <v>0</v>
      </c>
      <c r="H238">
        <f ca="1"/>
        <v>0</v>
      </c>
      <c r="I238" t="str">
        <f ca="1"/>
        <v>MIN NO MERGE</v>
      </c>
      <c r="J238">
        <f ca="1"/>
        <v>30</v>
      </c>
      <c r="K238" t="str">
        <f ca="1"/>
        <v>R-9</v>
      </c>
      <c r="L238" t="str">
        <f ca="1"/>
        <v>R-9</v>
      </c>
      <c r="M238">
        <f ca="1"/>
        <v>1</v>
      </c>
      <c r="N238">
        <f ca="1"/>
        <v>2.7169948082253779</v>
      </c>
      <c r="O238">
        <f ca="1"/>
        <v>2.7169948082253779</v>
      </c>
      <c r="P238">
        <f ca="1"/>
        <v>2.7169948082253779</v>
      </c>
      <c r="Q238">
        <f ca="1"/>
        <v>1.5707963267948966</v>
      </c>
      <c r="R238">
        <f ca="1"/>
        <v>691479.22176939005</v>
      </c>
      <c r="S238">
        <f ca="1"/>
        <v>7569401.4600858204</v>
      </c>
      <c r="T238">
        <f ca="1"/>
        <v>353.73797607421801</v>
      </c>
      <c r="U238">
        <f ca="1"/>
        <v>691507.72391469299</v>
      </c>
      <c r="V238">
        <f ca="1"/>
        <v>7569388.5743026398</v>
      </c>
      <c r="W238">
        <f ca="1"/>
        <v>354.05548095703102</v>
      </c>
      <c r="X238">
        <f ca="1"/>
        <v>691479.22176939005</v>
      </c>
      <c r="Y238">
        <f ca="1"/>
        <v>7569401.4600858204</v>
      </c>
      <c r="Z238">
        <f ca="1"/>
        <v>353.73797607421801</v>
      </c>
      <c r="AA238">
        <f ca="1"/>
        <v>3</v>
      </c>
      <c r="AB238">
        <f ca="1"/>
        <v>0.9</v>
      </c>
      <c r="AC238">
        <f ca="1"/>
        <v>5.3199999999999994</v>
      </c>
      <c r="AD238">
        <f ca="1"/>
        <v>1.6</v>
      </c>
      <c r="AE238">
        <f ca="1"/>
        <v>5.3199999999999994</v>
      </c>
    </row>
    <row r="239" spans="1:31" x14ac:dyDescent="0.25">
      <c r="A239">
        <f ca="1"/>
        <v>238</v>
      </c>
      <c r="B239">
        <f ca="1"/>
        <v>1</v>
      </c>
      <c r="C239">
        <f ca="1"/>
        <v>59</v>
      </c>
      <c r="D239" s="17">
        <f ca="1"/>
        <v>691479.29701900098</v>
      </c>
      <c r="E239" s="17">
        <f ca="1"/>
        <v>7569404.3452786207</v>
      </c>
      <c r="F239">
        <f ca="1"/>
        <v>353.63797607421799</v>
      </c>
      <c r="G239">
        <f ca="1"/>
        <v>0</v>
      </c>
      <c r="H239">
        <f ca="1"/>
        <v>0</v>
      </c>
      <c r="I239" t="str">
        <f ca="1"/>
        <v>MIN NO MERGE</v>
      </c>
      <c r="J239">
        <f ca="1"/>
        <v>30</v>
      </c>
      <c r="K239" t="str">
        <f ca="1"/>
        <v>R-9</v>
      </c>
      <c r="L239" t="str">
        <f ca="1"/>
        <v>R-9</v>
      </c>
      <c r="M239">
        <f ca="1"/>
        <v>1</v>
      </c>
      <c r="N239">
        <f ca="1"/>
        <v>2.7169948082253779</v>
      </c>
      <c r="O239">
        <f ca="1"/>
        <v>2.7169948082253779</v>
      </c>
      <c r="P239">
        <f ca="1"/>
        <v>2.7169948082253779</v>
      </c>
      <c r="Q239">
        <f ca="1"/>
        <v>1.5707963267948966</v>
      </c>
      <c r="R239">
        <f ca="1"/>
        <v>691479.22176939005</v>
      </c>
      <c r="S239">
        <f ca="1"/>
        <v>7569401.4600858204</v>
      </c>
      <c r="T239">
        <f ca="1"/>
        <v>353.73797607421801</v>
      </c>
      <c r="U239">
        <f ca="1"/>
        <v>691507.72391469299</v>
      </c>
      <c r="V239">
        <f ca="1"/>
        <v>7569388.5743026398</v>
      </c>
      <c r="W239">
        <f ca="1"/>
        <v>354.05548095703102</v>
      </c>
      <c r="X239">
        <f ca="1"/>
        <v>691479.22176939005</v>
      </c>
      <c r="Y239">
        <f ca="1"/>
        <v>7569401.4600858204</v>
      </c>
      <c r="Z239">
        <f ca="1"/>
        <v>353.73797607421801</v>
      </c>
      <c r="AA239">
        <f ca="1"/>
        <v>3</v>
      </c>
      <c r="AB239">
        <f ca="1"/>
        <v>0.9</v>
      </c>
      <c r="AC239">
        <f ca="1"/>
        <v>5.3199999999999994</v>
      </c>
      <c r="AD239">
        <f ca="1"/>
        <v>1.6</v>
      </c>
      <c r="AE239">
        <f ca="1"/>
        <v>5.3199999999999994</v>
      </c>
    </row>
    <row r="240" spans="1:31" x14ac:dyDescent="0.25">
      <c r="A240">
        <f ca="1"/>
        <v>239</v>
      </c>
      <c r="B240">
        <f ca="1"/>
        <v>2</v>
      </c>
      <c r="C240">
        <f ca="1"/>
        <v>59</v>
      </c>
      <c r="D240" s="17">
        <f ca="1"/>
        <v>691477.10542175279</v>
      </c>
      <c r="E240" s="17">
        <f ca="1"/>
        <v>7569399.4976708088</v>
      </c>
      <c r="F240">
        <f ca="1"/>
        <v>353.63797607421799</v>
      </c>
      <c r="G240">
        <f ca="1"/>
        <v>0</v>
      </c>
      <c r="H240">
        <f ca="1"/>
        <v>0</v>
      </c>
      <c r="I240" t="str">
        <f ca="1"/>
        <v>MIN NO MERGE</v>
      </c>
      <c r="J240">
        <f ca="1"/>
        <v>30</v>
      </c>
      <c r="K240" t="str">
        <f ca="1"/>
        <v>R-9</v>
      </c>
      <c r="L240" t="str">
        <f ca="1"/>
        <v>R-9</v>
      </c>
      <c r="M240">
        <f ca="1"/>
        <v>1</v>
      </c>
      <c r="N240">
        <f ca="1"/>
        <v>2.7169948082253779</v>
      </c>
      <c r="O240">
        <f ca="1"/>
        <v>2.7169948082253779</v>
      </c>
      <c r="P240">
        <f ca="1"/>
        <v>2.7169948082253779</v>
      </c>
      <c r="Q240">
        <f ca="1"/>
        <v>1.5707963267948966</v>
      </c>
      <c r="R240">
        <f ca="1"/>
        <v>691479.22176939005</v>
      </c>
      <c r="S240">
        <f ca="1"/>
        <v>7569401.4600858204</v>
      </c>
      <c r="T240">
        <f ca="1"/>
        <v>353.73797607421801</v>
      </c>
      <c r="U240">
        <f ca="1"/>
        <v>691507.72391469299</v>
      </c>
      <c r="V240">
        <f ca="1"/>
        <v>7569388.5743026398</v>
      </c>
      <c r="W240">
        <f ca="1"/>
        <v>354.05548095703102</v>
      </c>
      <c r="X240">
        <f ca="1"/>
        <v>691479.22176939005</v>
      </c>
      <c r="Y240">
        <f ca="1"/>
        <v>7569401.4600858204</v>
      </c>
      <c r="Z240">
        <f ca="1"/>
        <v>353.73797607421801</v>
      </c>
      <c r="AA240">
        <f ca="1"/>
        <v>3</v>
      </c>
      <c r="AB240">
        <f ca="1"/>
        <v>0.9</v>
      </c>
      <c r="AC240">
        <f ca="1"/>
        <v>5.3199999999999994</v>
      </c>
      <c r="AD240">
        <f ca="1"/>
        <v>1.6</v>
      </c>
      <c r="AE240">
        <f ca="1"/>
        <v>5.3199999999999994</v>
      </c>
    </row>
    <row r="241" spans="1:31" x14ac:dyDescent="0.25">
      <c r="A241">
        <f ca="1"/>
        <v>240</v>
      </c>
      <c r="B241">
        <f ca="1"/>
        <v>3</v>
      </c>
      <c r="C241">
        <f ca="1"/>
        <v>59</v>
      </c>
      <c r="D241" s="17">
        <f ca="1"/>
        <v>691478.56334891438</v>
      </c>
      <c r="E241" s="17">
        <f ca="1"/>
        <v>7569398.8385438165</v>
      </c>
      <c r="F241">
        <f ca="1"/>
        <v>353.63797607421799</v>
      </c>
      <c r="G241">
        <f ca="1"/>
        <v>0</v>
      </c>
      <c r="H241">
        <f ca="1"/>
        <v>0</v>
      </c>
      <c r="I241" t="str">
        <f ca="1"/>
        <v>MIN NO MERGE</v>
      </c>
      <c r="J241">
        <f ca="1"/>
        <v>30</v>
      </c>
      <c r="K241" t="str">
        <f ca="1"/>
        <v>R-9</v>
      </c>
      <c r="L241" t="str">
        <f ca="1"/>
        <v>R-9</v>
      </c>
      <c r="M241">
        <f ca="1"/>
        <v>1</v>
      </c>
      <c r="N241">
        <f ca="1"/>
        <v>2.7169948082253779</v>
      </c>
      <c r="O241">
        <f ca="1"/>
        <v>2.7169948082253779</v>
      </c>
      <c r="P241">
        <f ca="1"/>
        <v>2.7169948082253779</v>
      </c>
      <c r="Q241">
        <f ca="1"/>
        <v>1.5707963267948966</v>
      </c>
      <c r="R241">
        <f ca="1"/>
        <v>691479.22176939005</v>
      </c>
      <c r="S241">
        <f ca="1"/>
        <v>7569401.4600858204</v>
      </c>
      <c r="T241">
        <f ca="1"/>
        <v>353.73797607421801</v>
      </c>
      <c r="U241">
        <f ca="1"/>
        <v>691507.72391469299</v>
      </c>
      <c r="V241">
        <f ca="1"/>
        <v>7569388.5743026398</v>
      </c>
      <c r="W241">
        <f ca="1"/>
        <v>354.05548095703102</v>
      </c>
      <c r="X241">
        <f ca="1"/>
        <v>691479.22176939005</v>
      </c>
      <c r="Y241">
        <f ca="1"/>
        <v>7569401.4600858204</v>
      </c>
      <c r="Z241">
        <f ca="1"/>
        <v>353.73797607421801</v>
      </c>
      <c r="AA241">
        <f ca="1"/>
        <v>3</v>
      </c>
      <c r="AB241">
        <f ca="1"/>
        <v>0.9</v>
      </c>
      <c r="AC241">
        <f ca="1"/>
        <v>5.3199999999999994</v>
      </c>
      <c r="AD241">
        <f ca="1"/>
        <v>1.6</v>
      </c>
      <c r="AE241">
        <f ca="1"/>
        <v>5.3199999999999994</v>
      </c>
    </row>
  </sheetData>
  <conditionalFormatting sqref="D2:D241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2:D1048576 D1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241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42:E1048576 E1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D61"/>
  <sheetViews>
    <sheetView workbookViewId="0"/>
  </sheetViews>
  <sheetFormatPr defaultColWidth="10.42578125" defaultRowHeight="15" x14ac:dyDescent="0.25"/>
  <cols>
    <col min="2" max="2" width="12.7109375" bestFit="1" customWidth="1"/>
    <col min="3" max="3" width="14.28515625" bestFit="1" customWidth="1"/>
    <col min="4" max="4" width="6.140625" bestFit="1" customWidth="1"/>
    <col min="5" max="5" width="6.42578125" bestFit="1" customWidth="1"/>
    <col min="6" max="7" width="11.5703125" bestFit="1" customWidth="1"/>
    <col min="8" max="8" width="5.28515625" bestFit="1" customWidth="1"/>
    <col min="9" max="9" width="6.7109375" bestFit="1" customWidth="1"/>
    <col min="10" max="10" width="4.42578125" bestFit="1" customWidth="1"/>
    <col min="11" max="11" width="12" style="13" bestFit="1" customWidth="1"/>
    <col min="12" max="12" width="8.5703125" bestFit="1" customWidth="1"/>
    <col min="13" max="14" width="9.5703125" bestFit="1" customWidth="1"/>
    <col min="15" max="19" width="5.42578125" customWidth="1"/>
    <col min="20" max="21" width="11.28515625" customWidth="1"/>
    <col min="22" max="22" width="12.140625" customWidth="1"/>
    <col min="23" max="25" width="6.28515625" customWidth="1"/>
    <col min="26" max="26" width="8.42578125" bestFit="1" customWidth="1"/>
    <col min="28" max="28" width="13.7109375" bestFit="1" customWidth="1"/>
  </cols>
  <sheetData>
    <row r="1" spans="1:30" ht="45" x14ac:dyDescent="0.25">
      <c r="A1" t="s">
        <v>164</v>
      </c>
      <c r="B1" s="3" t="s">
        <v>103</v>
      </c>
      <c r="C1" s="3" t="s">
        <v>0</v>
      </c>
      <c r="D1" s="3" t="s">
        <v>46</v>
      </c>
      <c r="E1" s="3" t="s">
        <v>96</v>
      </c>
      <c r="F1" s="3" t="s">
        <v>32</v>
      </c>
      <c r="G1" s="3" t="s">
        <v>33</v>
      </c>
      <c r="H1" s="3" t="s">
        <v>36</v>
      </c>
      <c r="I1" s="3" t="s">
        <v>59</v>
      </c>
      <c r="J1" s="3" t="s">
        <v>60</v>
      </c>
      <c r="K1" s="12" t="s">
        <v>61</v>
      </c>
      <c r="L1" s="3" t="s">
        <v>62</v>
      </c>
      <c r="M1" s="3" t="s">
        <v>1</v>
      </c>
      <c r="N1" s="3" t="s">
        <v>63</v>
      </c>
      <c r="O1" s="3" t="s">
        <v>64</v>
      </c>
      <c r="P1" s="3" t="s">
        <v>65</v>
      </c>
      <c r="Q1" s="3" t="s">
        <v>66</v>
      </c>
      <c r="R1" s="3" t="s">
        <v>67</v>
      </c>
      <c r="S1" s="3" t="s">
        <v>68</v>
      </c>
      <c r="T1" s="3" t="s">
        <v>4</v>
      </c>
      <c r="U1" s="3" t="s">
        <v>84</v>
      </c>
      <c r="V1" s="3" t="s">
        <v>3</v>
      </c>
      <c r="W1" s="3" t="s">
        <v>85</v>
      </c>
      <c r="X1" s="3" t="s">
        <v>86</v>
      </c>
      <c r="Y1" s="3" t="s">
        <v>87</v>
      </c>
      <c r="Z1" s="3" t="s">
        <v>88</v>
      </c>
    </row>
    <row r="2" spans="1:30" x14ac:dyDescent="0.25">
      <c r="A2" cm="1">
        <f t="array" aca="1" ref="A2:A61" ca="1">_xlfn._xlws.FILTER(ROW(B:B),ROW(B:B)&lt;=$AC$18-1)</f>
        <v>1</v>
      </c>
      <c r="B2" s="3" t="str" cm="1">
        <f t="array" aca="1" ref="B2:B61" ca="1">_xlfn.ANCHORARRAY('PointsTidy - master'!B4)</f>
        <v>R-1</v>
      </c>
      <c r="C2" s="3" t="str" cm="1">
        <f t="array" aca="1" ref="C2:C61" ca="1">INDEX(_xlfn.ANCHORARRAY('PointsTidy - master'!W4),MATCH(_xlfn.ANCHORARRAY(B2),_xlfn.ANCHORARRAY('PointsTidy - master'!B4),0))</f>
        <v>R-1</v>
      </c>
      <c r="D2" s="3" cm="1">
        <f t="array" aca="1" ref="D2:D61" ca="1">MOD(ROW(_xlfn.ANCHORARRAY(A2)),2)</f>
        <v>0</v>
      </c>
      <c r="E2" s="3" cm="1">
        <f t="array" aca="1" ref="E2:E61" ca="1">_xlfn.ANCHORARRAY('PointsTidy - master'!A4)</f>
        <v>1</v>
      </c>
      <c r="F2" s="3" cm="1">
        <f t="array" aca="1" ref="F2:F61" ca="1">_xlfn.ANCHORARRAY('PointsTidy - master'!L4)</f>
        <v>687240.47098323505</v>
      </c>
      <c r="G2" s="3" cm="1">
        <f t="array" aca="1" ref="G2:G61" ca="1">_xlfn.ANCHORARRAY('PointsTidy - master'!M4)</f>
        <v>7565130.9173056604</v>
      </c>
      <c r="H2" s="3" t="str" cm="1">
        <f t="array" aca="1" ref="H2:H61" ca="1">_xlfn.ANCHORARRAY('PointsTidy - master'!X4)</f>
        <v>C</v>
      </c>
      <c r="I2" s="3" t="str" cm="1">
        <f t="array" aca="1" ref="I2:I61" ca="1">IF(_xlfn.ANCHORARRAY($A$2),INDEX($AC:$AC,MATCH(I$1,$AB:$AB,0)))</f>
        <v>F</v>
      </c>
      <c r="J2" s="3" t="str" cm="1">
        <f t="array" aca="1" ref="J2:J61" ca="1">IF(_xlfn.ANCHORARRAY($A$2),INDEX($AC:$AC,MATCH(J$1,$AB:$AB,0)))</f>
        <v>T</v>
      </c>
      <c r="K2" s="12" cm="1">
        <f t="array" aca="1" ref="K2:K61" ca="1">_xlfn.ANCHORARRAY('PointsTidy - master'!P4)</f>
        <v>83.395041540605504</v>
      </c>
      <c r="L2" s="3" cm="1">
        <f t="array" aca="1" ref="L2:L61" ca="1">_xlfn.ANCHORARRAY('PointsTidy - master'!U4)</f>
        <v>2.4E-2</v>
      </c>
      <c r="M2" s="3" cm="1">
        <f t="array" aca="1" ref="M2:M61" ca="1">_xlfn.ANCHORARRAY('PointsTidy - master'!E4)</f>
        <v>398.32244873046801</v>
      </c>
      <c r="N2" s="3" cm="1">
        <f t="array" aca="1" ref="N2:N61" ca="1">_xlfn.ANCHORARRAY('PointsTidy - master'!F4)</f>
        <v>395.86798095703102</v>
      </c>
      <c r="O2" s="3" cm="1">
        <f t="array" aca="1" ref="O2:O61" ca="1">IF(_xlfn.ANCHORARRAY($A$2),INDEX($AC:$AC,MATCH(O$1,$AB:$AB,0)))</f>
        <v>0</v>
      </c>
      <c r="P2" s="3" cm="1">
        <f t="array" aca="1" ref="P2:P61" ca="1">IF(_xlfn.ANCHORARRAY($A$2),INDEX($AC:$AC,MATCH(P$1,$AB:$AB,0)))</f>
        <v>0</v>
      </c>
      <c r="Q2" s="3" t="str" cm="1">
        <f t="array" aca="1" ref="Q2:Q61" ca="1">IF(_xlfn.ANCHORARRAY($A$2),INDEX($AC:$AC,MATCH(Q$1,$AB:$AB,0)))</f>
        <v xml:space="preserve"> </v>
      </c>
      <c r="R2" s="3" t="str" cm="1">
        <f t="array" aca="1" ref="R2:R61" ca="1">IF(_xlfn.ANCHORARRAY($A$2),INDEX($AC:$AC,MATCH(R$1,$AB:$AB,0)))</f>
        <v xml:space="preserve"> </v>
      </c>
      <c r="S2" s="3" cm="1">
        <f t="array" aca="1" ref="S2:S61" ca="1">IF(_xlfn.ANCHORARRAY($A$2),INDEX($AC:$AC,MATCH(S$1,$AB:$AB,0)))</f>
        <v>0</v>
      </c>
      <c r="T2" s="3" cm="1">
        <f t="array" aca="1" ref="T2:T61" ca="1">_xlfn.ANCHORARRAY('PointsTidy - master'!J4)</f>
        <v>1.5</v>
      </c>
      <c r="U2" s="3" cm="1">
        <f t="array" aca="1" ref="U2:U61" ca="1">_xlfn.ANCHORARRAY('PointsTidy - master'!K4)</f>
        <v>0</v>
      </c>
      <c r="V2" s="3" cm="1">
        <f t="array" aca="1" ref="V2:V61" ca="1">_xlfn.ANCHORARRAY('PointsTidy - master'!G4)</f>
        <v>5</v>
      </c>
      <c r="W2" s="3" cm="1">
        <f t="array" aca="1" ref="W2:W61" ca="1">IF(_xlfn.ANCHORARRAY($A$2),INDEX($AC:$AC,MATCH(W$1,$AB:$AB,0)))</f>
        <v>0</v>
      </c>
      <c r="X2" s="3" cm="1">
        <f t="array" aca="1" ref="X2:X61" ca="1">IF(_xlfn.ANCHORARRAY($A$2),INDEX($AC:$AC,MATCH(X$1,$AB:$AB,0)))</f>
        <v>1</v>
      </c>
      <c r="Y2" s="3" cm="1">
        <f t="array" aca="1" ref="Y2:Y61" ca="1">IF(_xlfn.ANCHORARRAY($A$2),INDEX($AC:$AC,MATCH(Y$1,$AB:$AB,0)))</f>
        <v>0.5</v>
      </c>
      <c r="Z2" s="3" cm="1">
        <f t="array" aca="1" ref="Z2:Z61" ca="1">IF(_xlfn.ANCHORARRAY($A$2),INDEX($AC:$AC,MATCH(Z$1,$AB:$AB,0)))</f>
        <v>1</v>
      </c>
      <c r="AB2" s="14" t="str">
        <f ca="1">'PointsTidy - master'!C1</f>
        <v>DUPLICATES</v>
      </c>
    </row>
    <row r="3" spans="1:30" x14ac:dyDescent="0.25">
      <c r="A3">
        <f ca="1"/>
        <v>2</v>
      </c>
      <c r="B3" s="3" t="str">
        <f ca="1"/>
        <v>R-1</v>
      </c>
      <c r="C3" s="3" t="str">
        <f ca="1"/>
        <v>R-1</v>
      </c>
      <c r="D3" s="3">
        <f ca="1"/>
        <v>1</v>
      </c>
      <c r="E3" s="3">
        <f ca="1"/>
        <v>1</v>
      </c>
      <c r="F3" s="3">
        <f ca="1"/>
        <v>687316.36780907097</v>
      </c>
      <c r="G3" s="3">
        <f ca="1"/>
        <v>7565096.3571438901</v>
      </c>
      <c r="H3" s="3" t="str">
        <f ca="1"/>
        <v>C</v>
      </c>
      <c r="I3" s="3" t="str">
        <f ca="1"/>
        <v>F</v>
      </c>
      <c r="J3" s="3" t="str">
        <f ca="1"/>
        <v>T</v>
      </c>
      <c r="K3" s="12">
        <f ca="1"/>
        <v>83.395041540605504</v>
      </c>
      <c r="L3" s="3">
        <f ca="1"/>
        <v>2.4E-2</v>
      </c>
      <c r="M3" s="3">
        <f ca="1"/>
        <v>398.32244873046801</v>
      </c>
      <c r="N3" s="3">
        <f ca="1"/>
        <v>395.86798095703102</v>
      </c>
      <c r="O3" s="3">
        <f ca="1"/>
        <v>0</v>
      </c>
      <c r="P3" s="3">
        <f ca="1"/>
        <v>0</v>
      </c>
      <c r="Q3" s="3" t="str">
        <f ca="1"/>
        <v xml:space="preserve"> </v>
      </c>
      <c r="R3" s="3" t="str">
        <f ca="1"/>
        <v xml:space="preserve"> </v>
      </c>
      <c r="S3" s="3">
        <f ca="1"/>
        <v>0</v>
      </c>
      <c r="T3" s="3">
        <f ca="1"/>
        <v>1.5</v>
      </c>
      <c r="U3" s="3">
        <f ca="1"/>
        <v>0</v>
      </c>
      <c r="V3" s="3">
        <f ca="1"/>
        <v>5</v>
      </c>
      <c r="W3" s="3">
        <f ca="1"/>
        <v>0</v>
      </c>
      <c r="X3" s="3">
        <f ca="1"/>
        <v>1</v>
      </c>
      <c r="Y3" s="3">
        <f ca="1"/>
        <v>0.5</v>
      </c>
      <c r="Z3" s="3">
        <f ca="1"/>
        <v>1</v>
      </c>
    </row>
    <row r="4" spans="1:30" x14ac:dyDescent="0.25">
      <c r="A4">
        <f ca="1"/>
        <v>3</v>
      </c>
      <c r="B4" s="3" t="str">
        <f ca="1"/>
        <v>R-10</v>
      </c>
      <c r="C4" s="3" t="str">
        <f ca="1"/>
        <v>R-10</v>
      </c>
      <c r="D4" s="3">
        <f ca="1"/>
        <v>0</v>
      </c>
      <c r="E4" s="3">
        <f ca="1"/>
        <v>2</v>
      </c>
      <c r="F4" s="3">
        <f ca="1"/>
        <v>691774.55839837098</v>
      </c>
      <c r="G4" s="3">
        <f ca="1"/>
        <v>7569997.4733193498</v>
      </c>
      <c r="H4" s="3" t="str">
        <f ca="1"/>
        <v>C</v>
      </c>
      <c r="I4" s="3" t="str">
        <f ca="1"/>
        <v>F</v>
      </c>
      <c r="J4" s="3" t="str">
        <f ca="1"/>
        <v>T</v>
      </c>
      <c r="K4" s="12">
        <f ca="1"/>
        <v>30.781273940501425</v>
      </c>
      <c r="L4" s="3">
        <f ca="1"/>
        <v>2.4E-2</v>
      </c>
      <c r="M4" s="3">
        <f ca="1"/>
        <v>349.98645019531199</v>
      </c>
      <c r="N4" s="3">
        <f ca="1"/>
        <v>349.86862182617102</v>
      </c>
      <c r="O4" s="3">
        <f ca="1"/>
        <v>0</v>
      </c>
      <c r="P4" s="3">
        <f ca="1"/>
        <v>0</v>
      </c>
      <c r="Q4" s="3" t="str">
        <f ca="1"/>
        <v xml:space="preserve"> </v>
      </c>
      <c r="R4" s="3" t="str">
        <f ca="1"/>
        <v xml:space="preserve"> </v>
      </c>
      <c r="S4" s="3">
        <f ca="1"/>
        <v>0</v>
      </c>
      <c r="T4" s="3">
        <f ca="1"/>
        <v>1.2</v>
      </c>
      <c r="U4" s="3">
        <f ca="1"/>
        <v>0</v>
      </c>
      <c r="V4" s="3">
        <f ca="1"/>
        <v>2</v>
      </c>
      <c r="W4" s="3">
        <f ca="1"/>
        <v>0</v>
      </c>
      <c r="X4" s="3">
        <f ca="1"/>
        <v>1</v>
      </c>
      <c r="Y4" s="3">
        <f ca="1"/>
        <v>0.5</v>
      </c>
      <c r="Z4" s="3">
        <f ca="1"/>
        <v>1</v>
      </c>
      <c r="AB4" t="s">
        <v>59</v>
      </c>
      <c r="AC4" t="s">
        <v>75</v>
      </c>
      <c r="AD4" t="s">
        <v>59</v>
      </c>
    </row>
    <row r="5" spans="1:30" x14ac:dyDescent="0.25">
      <c r="A5">
        <f ca="1"/>
        <v>4</v>
      </c>
      <c r="B5" s="3" t="str">
        <f ca="1"/>
        <v>R-10</v>
      </c>
      <c r="C5" s="3" t="str">
        <f ca="1"/>
        <v>R-10</v>
      </c>
      <c r="D5" s="3">
        <f ca="1"/>
        <v>1</v>
      </c>
      <c r="E5" s="3">
        <f ca="1"/>
        <v>2</v>
      </c>
      <c r="F5" s="3">
        <f ca="1"/>
        <v>691801.30686036195</v>
      </c>
      <c r="G5" s="3">
        <f ca="1"/>
        <v>7569982.24155627</v>
      </c>
      <c r="H5" s="3" t="str">
        <f ca="1"/>
        <v>C</v>
      </c>
      <c r="I5" s="3" t="str">
        <f ca="1"/>
        <v>F</v>
      </c>
      <c r="J5" s="3" t="str">
        <f ca="1"/>
        <v>T</v>
      </c>
      <c r="K5" s="12">
        <f ca="1"/>
        <v>30.781273940501425</v>
      </c>
      <c r="L5" s="3">
        <f ca="1"/>
        <v>2.4E-2</v>
      </c>
      <c r="M5" s="3">
        <f ca="1"/>
        <v>349.98645019531199</v>
      </c>
      <c r="N5" s="3">
        <f ca="1"/>
        <v>349.86862182617102</v>
      </c>
      <c r="O5" s="3">
        <f ca="1"/>
        <v>0</v>
      </c>
      <c r="P5" s="3">
        <f ca="1"/>
        <v>0</v>
      </c>
      <c r="Q5" s="3" t="str">
        <f ca="1"/>
        <v xml:space="preserve"> </v>
      </c>
      <c r="R5" s="3" t="str">
        <f ca="1"/>
        <v xml:space="preserve"> </v>
      </c>
      <c r="S5" s="3">
        <f ca="1"/>
        <v>0</v>
      </c>
      <c r="T5" s="3">
        <f ca="1"/>
        <v>1.2</v>
      </c>
      <c r="U5" s="3">
        <f ca="1"/>
        <v>0</v>
      </c>
      <c r="V5" s="3">
        <f ca="1"/>
        <v>2</v>
      </c>
      <c r="W5" s="3">
        <f ca="1"/>
        <v>0</v>
      </c>
      <c r="X5" s="3">
        <f ca="1"/>
        <v>1</v>
      </c>
      <c r="Y5" s="3">
        <f ca="1"/>
        <v>0.5</v>
      </c>
      <c r="Z5" s="3">
        <f ca="1"/>
        <v>1</v>
      </c>
      <c r="AB5" t="s">
        <v>60</v>
      </c>
      <c r="AC5" t="s">
        <v>76</v>
      </c>
      <c r="AD5" t="s">
        <v>60</v>
      </c>
    </row>
    <row r="6" spans="1:30" x14ac:dyDescent="0.25">
      <c r="A6">
        <f ca="1"/>
        <v>5</v>
      </c>
      <c r="B6" s="3" t="str">
        <f ca="1"/>
        <v>R-10b</v>
      </c>
      <c r="C6" s="3" t="str">
        <f ca="1"/>
        <v>R-10b</v>
      </c>
      <c r="D6" s="3">
        <f ca="1"/>
        <v>0</v>
      </c>
      <c r="E6" s="3">
        <f ca="1"/>
        <v>3</v>
      </c>
      <c r="F6" s="3">
        <f ca="1"/>
        <v>691717.62504003604</v>
      </c>
      <c r="G6" s="3">
        <f ca="1"/>
        <v>7569824.0726994304</v>
      </c>
      <c r="H6" s="3" t="str">
        <f ca="1"/>
        <v>C</v>
      </c>
      <c r="I6" s="3" t="str">
        <f ca="1"/>
        <v>F</v>
      </c>
      <c r="J6" s="3" t="str">
        <f ca="1"/>
        <v>T</v>
      </c>
      <c r="K6" s="12">
        <f ca="1"/>
        <v>25.313262453309154</v>
      </c>
      <c r="L6" s="3">
        <f ca="1"/>
        <v>2.4E-2</v>
      </c>
      <c r="M6" s="3">
        <f ca="1"/>
        <v>351.56097412109301</v>
      </c>
      <c r="N6" s="3">
        <f ca="1"/>
        <v>351.14425659179602</v>
      </c>
      <c r="O6" s="3">
        <f ca="1"/>
        <v>0</v>
      </c>
      <c r="P6" s="3">
        <f ca="1"/>
        <v>0</v>
      </c>
      <c r="Q6" s="3" t="str">
        <f ca="1"/>
        <v xml:space="preserve"> </v>
      </c>
      <c r="R6" s="3" t="str">
        <f ca="1"/>
        <v xml:space="preserve"> </v>
      </c>
      <c r="S6" s="3">
        <f ca="1"/>
        <v>0</v>
      </c>
      <c r="T6" s="3">
        <f ca="1"/>
        <v>1.2</v>
      </c>
      <c r="U6" s="3">
        <f ca="1"/>
        <v>0</v>
      </c>
      <c r="V6" s="3">
        <f ca="1"/>
        <v>2</v>
      </c>
      <c r="W6" s="3">
        <f ca="1"/>
        <v>0</v>
      </c>
      <c r="X6" s="3">
        <f ca="1"/>
        <v>1</v>
      </c>
      <c r="Y6" s="3">
        <f ca="1"/>
        <v>0.5</v>
      </c>
      <c r="Z6" s="3">
        <f ca="1"/>
        <v>1</v>
      </c>
      <c r="AC6" s="3"/>
    </row>
    <row r="7" spans="1:30" x14ac:dyDescent="0.25">
      <c r="A7">
        <f ca="1"/>
        <v>6</v>
      </c>
      <c r="B7" s="3" t="str">
        <f ca="1"/>
        <v>R-10b</v>
      </c>
      <c r="C7" s="3" t="str">
        <f ca="1"/>
        <v>R-10b</v>
      </c>
      <c r="D7" s="3">
        <f ca="1"/>
        <v>1</v>
      </c>
      <c r="E7" s="3">
        <f ca="1"/>
        <v>3</v>
      </c>
      <c r="F7" s="3">
        <f ca="1"/>
        <v>691742.79459975695</v>
      </c>
      <c r="G7" s="3">
        <f ca="1"/>
        <v>7569821.3792779101</v>
      </c>
      <c r="H7" s="3" t="str">
        <f ca="1"/>
        <v>C</v>
      </c>
      <c r="I7" s="3" t="str">
        <f ca="1"/>
        <v>F</v>
      </c>
      <c r="J7" s="3" t="str">
        <f ca="1"/>
        <v>T</v>
      </c>
      <c r="K7" s="12">
        <f ca="1"/>
        <v>25.313262453309154</v>
      </c>
      <c r="L7" s="3">
        <f ca="1"/>
        <v>2.4E-2</v>
      </c>
      <c r="M7" s="3">
        <f ca="1"/>
        <v>351.56097412109301</v>
      </c>
      <c r="N7" s="3">
        <f ca="1"/>
        <v>351.14425659179602</v>
      </c>
      <c r="O7" s="3">
        <f ca="1"/>
        <v>0</v>
      </c>
      <c r="P7" s="3">
        <f ca="1"/>
        <v>0</v>
      </c>
      <c r="Q7" s="3" t="str">
        <f ca="1"/>
        <v xml:space="preserve"> </v>
      </c>
      <c r="R7" s="3" t="str">
        <f ca="1"/>
        <v xml:space="preserve"> </v>
      </c>
      <c r="S7" s="3">
        <f ca="1"/>
        <v>0</v>
      </c>
      <c r="T7" s="3">
        <f ca="1"/>
        <v>1.2</v>
      </c>
      <c r="U7" s="3">
        <f ca="1"/>
        <v>0</v>
      </c>
      <c r="V7" s="3">
        <f ca="1"/>
        <v>2</v>
      </c>
      <c r="W7" s="3">
        <f ca="1"/>
        <v>0</v>
      </c>
      <c r="X7" s="3">
        <f ca="1"/>
        <v>1</v>
      </c>
      <c r="Y7" s="3">
        <f ca="1"/>
        <v>0.5</v>
      </c>
      <c r="Z7" s="3">
        <f ca="1"/>
        <v>1</v>
      </c>
      <c r="AB7" t="s">
        <v>64</v>
      </c>
      <c r="AC7">
        <v>0</v>
      </c>
      <c r="AD7" t="s">
        <v>64</v>
      </c>
    </row>
    <row r="8" spans="1:30" x14ac:dyDescent="0.25">
      <c r="A8">
        <f ca="1"/>
        <v>7</v>
      </c>
      <c r="B8" s="3" t="str">
        <f ca="1"/>
        <v>R-10c</v>
      </c>
      <c r="C8" s="3" t="str">
        <f ca="1"/>
        <v>R-10c</v>
      </c>
      <c r="D8" s="3">
        <f ca="1"/>
        <v>0</v>
      </c>
      <c r="E8" s="3">
        <f ca="1"/>
        <v>4</v>
      </c>
      <c r="F8" s="3">
        <f ca="1"/>
        <v>691636.54376462696</v>
      </c>
      <c r="G8" s="3">
        <f ca="1"/>
        <v>7569647.3285217602</v>
      </c>
      <c r="H8" s="3" t="str">
        <f ca="1"/>
        <v>C</v>
      </c>
      <c r="I8" s="3" t="str">
        <f ca="1"/>
        <v>F</v>
      </c>
      <c r="J8" s="3" t="str">
        <f ca="1"/>
        <v>T</v>
      </c>
      <c r="K8" s="12">
        <f ca="1"/>
        <v>24.390499704189949</v>
      </c>
      <c r="L8" s="3">
        <f ca="1"/>
        <v>2.4E-2</v>
      </c>
      <c r="M8" s="3">
        <f ca="1"/>
        <v>353.093658447265</v>
      </c>
      <c r="N8" s="3">
        <f ca="1"/>
        <v>352.65432739257801</v>
      </c>
      <c r="O8" s="3">
        <f ca="1"/>
        <v>0</v>
      </c>
      <c r="P8" s="3">
        <f ca="1"/>
        <v>0</v>
      </c>
      <c r="Q8" s="3" t="str">
        <f ca="1"/>
        <v xml:space="preserve"> </v>
      </c>
      <c r="R8" s="3" t="str">
        <f ca="1"/>
        <v xml:space="preserve"> </v>
      </c>
      <c r="S8" s="3">
        <f ca="1"/>
        <v>0</v>
      </c>
      <c r="T8" s="3">
        <f ca="1"/>
        <v>0.9</v>
      </c>
      <c r="U8" s="3">
        <f ca="1"/>
        <v>0</v>
      </c>
      <c r="V8" s="3">
        <f ca="1"/>
        <v>1</v>
      </c>
      <c r="W8" s="3">
        <f ca="1"/>
        <v>0</v>
      </c>
      <c r="X8" s="3">
        <f ca="1"/>
        <v>1</v>
      </c>
      <c r="Y8" s="3">
        <f ca="1"/>
        <v>0.5</v>
      </c>
      <c r="Z8" s="3">
        <f ca="1"/>
        <v>1</v>
      </c>
      <c r="AB8" t="s">
        <v>65</v>
      </c>
      <c r="AC8">
        <v>0</v>
      </c>
      <c r="AD8" t="s">
        <v>65</v>
      </c>
    </row>
    <row r="9" spans="1:30" x14ac:dyDescent="0.25">
      <c r="A9">
        <f ca="1"/>
        <v>8</v>
      </c>
      <c r="B9" s="3" t="str">
        <f ca="1"/>
        <v>R-10c</v>
      </c>
      <c r="C9" s="3" t="str">
        <f ca="1"/>
        <v>R-10c</v>
      </c>
      <c r="D9" s="3">
        <f ca="1"/>
        <v>1</v>
      </c>
      <c r="E9" s="3">
        <f ca="1"/>
        <v>4</v>
      </c>
      <c r="F9" s="3">
        <f ca="1"/>
        <v>691654.56182582898</v>
      </c>
      <c r="G9" s="3">
        <f ca="1"/>
        <v>7569630.8893628297</v>
      </c>
      <c r="H9" s="3" t="str">
        <f ca="1"/>
        <v>C</v>
      </c>
      <c r="I9" s="3" t="str">
        <f ca="1"/>
        <v>F</v>
      </c>
      <c r="J9" s="3" t="str">
        <f ca="1"/>
        <v>T</v>
      </c>
      <c r="K9" s="12">
        <f ca="1"/>
        <v>24.390499704189949</v>
      </c>
      <c r="L9" s="3">
        <f ca="1"/>
        <v>2.4E-2</v>
      </c>
      <c r="M9" s="3">
        <f ca="1"/>
        <v>353.093658447265</v>
      </c>
      <c r="N9" s="3">
        <f ca="1"/>
        <v>352.65432739257801</v>
      </c>
      <c r="O9" s="3">
        <f ca="1"/>
        <v>0</v>
      </c>
      <c r="P9" s="3">
        <f ca="1"/>
        <v>0</v>
      </c>
      <c r="Q9" s="3" t="str">
        <f ca="1"/>
        <v xml:space="preserve"> </v>
      </c>
      <c r="R9" s="3" t="str">
        <f ca="1"/>
        <v xml:space="preserve"> </v>
      </c>
      <c r="S9" s="3">
        <f ca="1"/>
        <v>0</v>
      </c>
      <c r="T9" s="3">
        <f ca="1"/>
        <v>0.9</v>
      </c>
      <c r="U9" s="3">
        <f ca="1"/>
        <v>0</v>
      </c>
      <c r="V9" s="3">
        <f ca="1"/>
        <v>1</v>
      </c>
      <c r="W9" s="3">
        <f ca="1"/>
        <v>0</v>
      </c>
      <c r="X9" s="3">
        <f ca="1"/>
        <v>1</v>
      </c>
      <c r="Y9" s="3">
        <f ca="1"/>
        <v>0.5</v>
      </c>
      <c r="Z9" s="3">
        <f ca="1"/>
        <v>1</v>
      </c>
      <c r="AB9" t="s">
        <v>66</v>
      </c>
      <c r="AC9" t="s">
        <v>77</v>
      </c>
      <c r="AD9" t="s">
        <v>66</v>
      </c>
    </row>
    <row r="10" spans="1:30" x14ac:dyDescent="0.25">
      <c r="A10">
        <f ca="1"/>
        <v>9</v>
      </c>
      <c r="B10" s="3" t="str">
        <f ca="1"/>
        <v>R-11</v>
      </c>
      <c r="C10" s="3" t="str">
        <f ca="1"/>
        <v>R-11</v>
      </c>
      <c r="D10" s="3">
        <f ca="1"/>
        <v>0</v>
      </c>
      <c r="E10" s="3">
        <f ca="1"/>
        <v>5</v>
      </c>
      <c r="F10" s="3">
        <f ca="1"/>
        <v>691880.06622066698</v>
      </c>
      <c r="G10" s="3">
        <f ca="1"/>
        <v>7570339.6771672796</v>
      </c>
      <c r="H10" s="3" t="str">
        <f ca="1"/>
        <v>C</v>
      </c>
      <c r="I10" s="3" t="str">
        <f ca="1"/>
        <v>F</v>
      </c>
      <c r="J10" s="3" t="str">
        <f ca="1"/>
        <v>T</v>
      </c>
      <c r="K10" s="12">
        <f ca="1"/>
        <v>34.855464752800593</v>
      </c>
      <c r="L10" s="3">
        <f ca="1"/>
        <v>2.4E-2</v>
      </c>
      <c r="M10" s="3">
        <f ca="1"/>
        <v>348.30090332031199</v>
      </c>
      <c r="N10" s="3">
        <f ca="1"/>
        <v>348.02838134765602</v>
      </c>
      <c r="O10" s="3">
        <f ca="1"/>
        <v>0</v>
      </c>
      <c r="P10" s="3">
        <f ca="1"/>
        <v>0</v>
      </c>
      <c r="Q10" s="3" t="str">
        <f ca="1"/>
        <v xml:space="preserve"> </v>
      </c>
      <c r="R10" s="3" t="str">
        <f ca="1"/>
        <v xml:space="preserve"> </v>
      </c>
      <c r="S10" s="3">
        <f ca="1"/>
        <v>0</v>
      </c>
      <c r="T10" s="3">
        <f ca="1"/>
        <v>1.5</v>
      </c>
      <c r="U10" s="3">
        <f ca="1"/>
        <v>0</v>
      </c>
      <c r="V10" s="3">
        <f ca="1"/>
        <v>3</v>
      </c>
      <c r="W10" s="3">
        <f ca="1"/>
        <v>0</v>
      </c>
      <c r="X10" s="3">
        <f ca="1"/>
        <v>1</v>
      </c>
      <c r="Y10" s="3">
        <f ca="1"/>
        <v>0.5</v>
      </c>
      <c r="Z10" s="3">
        <f ca="1"/>
        <v>1</v>
      </c>
      <c r="AB10" t="s">
        <v>67</v>
      </c>
      <c r="AC10" t="s">
        <v>77</v>
      </c>
      <c r="AD10" t="s">
        <v>67</v>
      </c>
    </row>
    <row r="11" spans="1:30" x14ac:dyDescent="0.25">
      <c r="A11">
        <f ca="1"/>
        <v>10</v>
      </c>
      <c r="B11" s="3" t="str">
        <f ca="1"/>
        <v>R-11</v>
      </c>
      <c r="C11" s="3" t="str">
        <f ca="1"/>
        <v>R-11</v>
      </c>
      <c r="D11" s="3">
        <f ca="1"/>
        <v>1</v>
      </c>
      <c r="E11" s="3">
        <f ca="1"/>
        <v>5</v>
      </c>
      <c r="F11" s="3">
        <f ca="1"/>
        <v>691909.32235097</v>
      </c>
      <c r="G11" s="3">
        <f ca="1"/>
        <v>7570320.73034003</v>
      </c>
      <c r="H11" s="3" t="str">
        <f ca="1"/>
        <v>C</v>
      </c>
      <c r="I11" s="3" t="str">
        <f ca="1"/>
        <v>F</v>
      </c>
      <c r="J11" s="3" t="str">
        <f ca="1"/>
        <v>T</v>
      </c>
      <c r="K11" s="12">
        <f ca="1"/>
        <v>34.855464752800593</v>
      </c>
      <c r="L11" s="3">
        <f ca="1"/>
        <v>2.4E-2</v>
      </c>
      <c r="M11" s="3">
        <f ca="1"/>
        <v>348.30090332031199</v>
      </c>
      <c r="N11" s="3">
        <f ca="1"/>
        <v>348.02838134765602</v>
      </c>
      <c r="O11" s="3">
        <f ca="1"/>
        <v>0</v>
      </c>
      <c r="P11" s="3">
        <f ca="1"/>
        <v>0</v>
      </c>
      <c r="Q11" s="3" t="str">
        <f ca="1"/>
        <v xml:space="preserve"> </v>
      </c>
      <c r="R11" s="3" t="str">
        <f ca="1"/>
        <v xml:space="preserve"> </v>
      </c>
      <c r="S11" s="3">
        <f ca="1"/>
        <v>0</v>
      </c>
      <c r="T11" s="3">
        <f ca="1"/>
        <v>1.5</v>
      </c>
      <c r="U11" s="3">
        <f ca="1"/>
        <v>0</v>
      </c>
      <c r="V11" s="3">
        <f ca="1"/>
        <v>3</v>
      </c>
      <c r="W11" s="3">
        <f ca="1"/>
        <v>0</v>
      </c>
      <c r="X11" s="3">
        <f ca="1"/>
        <v>1</v>
      </c>
      <c r="Y11" s="3">
        <f ca="1"/>
        <v>0.5</v>
      </c>
      <c r="Z11" s="3">
        <f ca="1"/>
        <v>1</v>
      </c>
      <c r="AB11" t="s">
        <v>68</v>
      </c>
      <c r="AC11">
        <v>0</v>
      </c>
      <c r="AD11" t="s">
        <v>68</v>
      </c>
    </row>
    <row r="12" spans="1:30" x14ac:dyDescent="0.25">
      <c r="A12">
        <f ca="1"/>
        <v>11</v>
      </c>
      <c r="B12" s="3" t="str">
        <f ca="1"/>
        <v>R-12</v>
      </c>
      <c r="C12" s="3" t="str">
        <f ca="1"/>
        <v>R-12</v>
      </c>
      <c r="D12" s="3">
        <f ca="1"/>
        <v>0</v>
      </c>
      <c r="E12" s="3">
        <f ca="1"/>
        <v>6</v>
      </c>
      <c r="F12" s="3">
        <f ca="1"/>
        <v>692012.72198079503</v>
      </c>
      <c r="G12" s="3">
        <f ca="1"/>
        <v>7570764.2927504499</v>
      </c>
      <c r="H12" s="3" t="str">
        <f ca="1"/>
        <v>C</v>
      </c>
      <c r="I12" s="3" t="str">
        <f ca="1"/>
        <v>F</v>
      </c>
      <c r="J12" s="3" t="str">
        <f ca="1"/>
        <v>T</v>
      </c>
      <c r="K12" s="12">
        <f ca="1"/>
        <v>33.550453915548182</v>
      </c>
      <c r="L12" s="3">
        <f ca="1"/>
        <v>2.4E-2</v>
      </c>
      <c r="M12" s="3">
        <f ca="1"/>
        <v>351.80154418945301</v>
      </c>
      <c r="N12" s="3">
        <f ca="1"/>
        <v>351.21353149414</v>
      </c>
      <c r="O12" s="3">
        <f ca="1"/>
        <v>0</v>
      </c>
      <c r="P12" s="3">
        <f ca="1"/>
        <v>0</v>
      </c>
      <c r="Q12" s="3" t="str">
        <f ca="1"/>
        <v xml:space="preserve"> </v>
      </c>
      <c r="R12" s="3" t="str">
        <f ca="1"/>
        <v xml:space="preserve"> </v>
      </c>
      <c r="S12" s="3">
        <f ca="1"/>
        <v>0</v>
      </c>
      <c r="T12" s="3">
        <f ca="1"/>
        <v>0.9</v>
      </c>
      <c r="U12" s="3">
        <f ca="1"/>
        <v>0</v>
      </c>
      <c r="V12" s="3">
        <f ca="1"/>
        <v>2</v>
      </c>
      <c r="W12" s="3">
        <f ca="1"/>
        <v>0</v>
      </c>
      <c r="X12" s="3">
        <f ca="1"/>
        <v>1</v>
      </c>
      <c r="Y12" s="3">
        <f ca="1"/>
        <v>0.5</v>
      </c>
      <c r="Z12" s="3">
        <f ca="1"/>
        <v>1</v>
      </c>
      <c r="AB12" t="s">
        <v>84</v>
      </c>
      <c r="AC12">
        <v>0</v>
      </c>
      <c r="AD12" t="s">
        <v>69</v>
      </c>
    </row>
    <row r="13" spans="1:30" x14ac:dyDescent="0.25">
      <c r="A13">
        <f ca="1"/>
        <v>12</v>
      </c>
      <c r="B13" s="3" t="str">
        <f ca="1"/>
        <v>R-12</v>
      </c>
      <c r="C13" s="3" t="str">
        <f ca="1"/>
        <v>R-12</v>
      </c>
      <c r="D13" s="3">
        <f ca="1"/>
        <v>1</v>
      </c>
      <c r="E13" s="3">
        <f ca="1"/>
        <v>6</v>
      </c>
      <c r="F13" s="3">
        <f ca="1"/>
        <v>692036.69809301896</v>
      </c>
      <c r="G13" s="3">
        <f ca="1"/>
        <v>7570740.8240691796</v>
      </c>
      <c r="H13" s="3" t="str">
        <f ca="1"/>
        <v>C</v>
      </c>
      <c r="I13" s="3" t="str">
        <f ca="1"/>
        <v>F</v>
      </c>
      <c r="J13" s="3" t="str">
        <f ca="1"/>
        <v>T</v>
      </c>
      <c r="K13" s="12">
        <f ca="1"/>
        <v>33.550453915548182</v>
      </c>
      <c r="L13" s="3">
        <f ca="1"/>
        <v>2.4E-2</v>
      </c>
      <c r="M13" s="3">
        <f ca="1"/>
        <v>351.80154418945301</v>
      </c>
      <c r="N13" s="3">
        <f ca="1"/>
        <v>351.21353149414</v>
      </c>
      <c r="O13" s="3">
        <f ca="1"/>
        <v>0</v>
      </c>
      <c r="P13" s="3">
        <f ca="1"/>
        <v>0</v>
      </c>
      <c r="Q13" s="3" t="str">
        <f ca="1"/>
        <v xml:space="preserve"> </v>
      </c>
      <c r="R13" s="3" t="str">
        <f ca="1"/>
        <v xml:space="preserve"> </v>
      </c>
      <c r="S13" s="3">
        <f ca="1"/>
        <v>0</v>
      </c>
      <c r="T13" s="3">
        <f ca="1"/>
        <v>0.9</v>
      </c>
      <c r="U13" s="3">
        <f ca="1"/>
        <v>0</v>
      </c>
      <c r="V13" s="3">
        <f ca="1"/>
        <v>2</v>
      </c>
      <c r="W13" s="3">
        <f ca="1"/>
        <v>0</v>
      </c>
      <c r="X13" s="3">
        <f ca="1"/>
        <v>1</v>
      </c>
      <c r="Y13" s="3">
        <f ca="1"/>
        <v>0.5</v>
      </c>
      <c r="Z13" s="3">
        <f ca="1"/>
        <v>1</v>
      </c>
      <c r="AB13" t="s">
        <v>85</v>
      </c>
      <c r="AC13" s="3">
        <v>0</v>
      </c>
      <c r="AD13" t="s">
        <v>70</v>
      </c>
    </row>
    <row r="14" spans="1:30" x14ac:dyDescent="0.25">
      <c r="A14">
        <f ca="1"/>
        <v>13</v>
      </c>
      <c r="B14" s="3" t="str">
        <f ca="1"/>
        <v>R-13</v>
      </c>
      <c r="C14" s="3" t="str">
        <f ca="1"/>
        <v>R-13</v>
      </c>
      <c r="D14" s="3">
        <f ca="1"/>
        <v>0</v>
      </c>
      <c r="E14" s="3">
        <f ca="1"/>
        <v>7</v>
      </c>
      <c r="F14" s="3">
        <f ca="1"/>
        <v>692109.38757610798</v>
      </c>
      <c r="G14" s="3">
        <f ca="1"/>
        <v>7571160.8500351701</v>
      </c>
      <c r="H14" s="3" t="str">
        <f ca="1"/>
        <v>C</v>
      </c>
      <c r="I14" s="3" t="str">
        <f ca="1"/>
        <v>F</v>
      </c>
      <c r="J14" s="3" t="str">
        <f ca="1"/>
        <v>T</v>
      </c>
      <c r="K14" s="12">
        <f ca="1"/>
        <v>53.465983950916012</v>
      </c>
      <c r="L14" s="3">
        <f ca="1"/>
        <v>2.4E-2</v>
      </c>
      <c r="M14" s="3">
        <f ca="1"/>
        <v>344.20489501953102</v>
      </c>
      <c r="N14" s="3">
        <f ca="1"/>
        <v>343.79400634765602</v>
      </c>
      <c r="O14" s="3">
        <f ca="1"/>
        <v>0</v>
      </c>
      <c r="P14" s="3">
        <f ca="1"/>
        <v>0</v>
      </c>
      <c r="Q14" s="3" t="str">
        <f ca="1"/>
        <v xml:space="preserve"> </v>
      </c>
      <c r="R14" s="3" t="str">
        <f ca="1"/>
        <v xml:space="preserve"> </v>
      </c>
      <c r="S14" s="3">
        <f ca="1"/>
        <v>0</v>
      </c>
      <c r="T14" s="3">
        <f ca="1"/>
        <v>1.5</v>
      </c>
      <c r="U14" s="3">
        <f ca="1"/>
        <v>0</v>
      </c>
      <c r="V14" s="3">
        <f ca="1"/>
        <v>4</v>
      </c>
      <c r="W14" s="3">
        <f ca="1"/>
        <v>0</v>
      </c>
      <c r="X14" s="3">
        <f ca="1"/>
        <v>1</v>
      </c>
      <c r="Y14" s="3">
        <f ca="1"/>
        <v>0.5</v>
      </c>
      <c r="Z14" s="3">
        <f ca="1"/>
        <v>1</v>
      </c>
      <c r="AB14" t="s">
        <v>86</v>
      </c>
      <c r="AC14" s="3">
        <v>1</v>
      </c>
      <c r="AD14" t="s">
        <v>71</v>
      </c>
    </row>
    <row r="15" spans="1:30" x14ac:dyDescent="0.25">
      <c r="A15">
        <f ca="1"/>
        <v>14</v>
      </c>
      <c r="B15" s="3" t="str">
        <f ca="1"/>
        <v>R-13</v>
      </c>
      <c r="C15" s="3" t="str">
        <f ca="1"/>
        <v>R-13</v>
      </c>
      <c r="D15" s="3">
        <f ca="1"/>
        <v>1</v>
      </c>
      <c r="E15" s="3">
        <f ca="1"/>
        <v>7</v>
      </c>
      <c r="F15" s="3">
        <f ca="1"/>
        <v>692161.01794817403</v>
      </c>
      <c r="G15" s="3">
        <f ca="1"/>
        <v>7571146.9606104102</v>
      </c>
      <c r="H15" s="3" t="str">
        <f ca="1"/>
        <v>C</v>
      </c>
      <c r="I15" s="3" t="str">
        <f ca="1"/>
        <v>F</v>
      </c>
      <c r="J15" s="3" t="str">
        <f ca="1"/>
        <v>T</v>
      </c>
      <c r="K15" s="12">
        <f ca="1"/>
        <v>53.465983950916012</v>
      </c>
      <c r="L15" s="3">
        <f ca="1"/>
        <v>2.4E-2</v>
      </c>
      <c r="M15" s="3">
        <f ca="1"/>
        <v>344.20489501953102</v>
      </c>
      <c r="N15" s="3">
        <f ca="1"/>
        <v>343.79400634765602</v>
      </c>
      <c r="O15" s="3">
        <f ca="1"/>
        <v>0</v>
      </c>
      <c r="P15" s="3">
        <f ca="1"/>
        <v>0</v>
      </c>
      <c r="Q15" s="3" t="str">
        <f ca="1"/>
        <v xml:space="preserve"> </v>
      </c>
      <c r="R15" s="3" t="str">
        <f ca="1"/>
        <v xml:space="preserve"> </v>
      </c>
      <c r="S15" s="3">
        <f ca="1"/>
        <v>0</v>
      </c>
      <c r="T15" s="3">
        <f ca="1"/>
        <v>1.5</v>
      </c>
      <c r="U15" s="3">
        <f ca="1"/>
        <v>0</v>
      </c>
      <c r="V15" s="3">
        <f ca="1"/>
        <v>4</v>
      </c>
      <c r="W15" s="3">
        <f ca="1"/>
        <v>0</v>
      </c>
      <c r="X15" s="3">
        <f ca="1"/>
        <v>1</v>
      </c>
      <c r="Y15" s="3">
        <f ca="1"/>
        <v>0.5</v>
      </c>
      <c r="Z15" s="3">
        <f ca="1"/>
        <v>1</v>
      </c>
      <c r="AB15" t="s">
        <v>87</v>
      </c>
      <c r="AC15" s="3">
        <v>0.5</v>
      </c>
      <c r="AD15" t="s">
        <v>72</v>
      </c>
    </row>
    <row r="16" spans="1:30" x14ac:dyDescent="0.25">
      <c r="A16">
        <f ca="1"/>
        <v>15</v>
      </c>
      <c r="B16" s="3" t="str">
        <f ca="1"/>
        <v>R-14</v>
      </c>
      <c r="C16" s="3" t="str">
        <f ca="1"/>
        <v>R-14</v>
      </c>
      <c r="D16" s="3">
        <f ca="1"/>
        <v>0</v>
      </c>
      <c r="E16" s="3">
        <f ca="1"/>
        <v>8</v>
      </c>
      <c r="F16" s="3">
        <f ca="1"/>
        <v>692159.34616929898</v>
      </c>
      <c r="G16" s="3">
        <f ca="1"/>
        <v>7571613.5726695796</v>
      </c>
      <c r="H16" s="3" t="str">
        <f ca="1"/>
        <v>C</v>
      </c>
      <c r="I16" s="3" t="str">
        <f ca="1"/>
        <v>F</v>
      </c>
      <c r="J16" s="3" t="str">
        <f ca="1"/>
        <v>T</v>
      </c>
      <c r="K16" s="12">
        <f ca="1"/>
        <v>49.081396966677332</v>
      </c>
      <c r="L16" s="3">
        <f ca="1"/>
        <v>2.4E-2</v>
      </c>
      <c r="M16" s="3">
        <f ca="1"/>
        <v>342.71350097656199</v>
      </c>
      <c r="N16" s="3">
        <f ca="1"/>
        <v>342.2919921875</v>
      </c>
      <c r="O16" s="3">
        <f ca="1"/>
        <v>0</v>
      </c>
      <c r="P16" s="3">
        <f ca="1"/>
        <v>0</v>
      </c>
      <c r="Q16" s="3" t="str">
        <f ca="1"/>
        <v xml:space="preserve"> </v>
      </c>
      <c r="R16" s="3" t="str">
        <f ca="1"/>
        <v xml:space="preserve"> </v>
      </c>
      <c r="S16" s="3">
        <f ca="1"/>
        <v>0</v>
      </c>
      <c r="T16" s="3">
        <f ca="1"/>
        <v>1.5</v>
      </c>
      <c r="U16" s="3">
        <f ca="1"/>
        <v>0</v>
      </c>
      <c r="V16" s="3">
        <f ca="1"/>
        <v>4</v>
      </c>
      <c r="W16" s="3">
        <f ca="1"/>
        <v>0</v>
      </c>
      <c r="X16" s="3">
        <f ca="1"/>
        <v>1</v>
      </c>
      <c r="Y16" s="3">
        <f ca="1"/>
        <v>0.5</v>
      </c>
      <c r="Z16" s="3">
        <f ca="1"/>
        <v>1</v>
      </c>
      <c r="AB16" t="s">
        <v>88</v>
      </c>
      <c r="AC16" s="3">
        <v>1</v>
      </c>
      <c r="AD16" t="s">
        <v>73</v>
      </c>
    </row>
    <row r="17" spans="1:29" x14ac:dyDescent="0.25">
      <c r="A17">
        <f ca="1"/>
        <v>16</v>
      </c>
      <c r="B17" s="3" t="str">
        <f ca="1"/>
        <v>R-14</v>
      </c>
      <c r="C17" s="3" t="str">
        <f ca="1"/>
        <v>R-14</v>
      </c>
      <c r="D17" s="3">
        <f ca="1"/>
        <v>1</v>
      </c>
      <c r="E17" s="3">
        <f ca="1"/>
        <v>8</v>
      </c>
      <c r="F17" s="3">
        <f ca="1"/>
        <v>692208.38501628197</v>
      </c>
      <c r="G17" s="3">
        <f ca="1"/>
        <v>7571615.6159548704</v>
      </c>
      <c r="H17" s="3" t="str">
        <f ca="1"/>
        <v>C</v>
      </c>
      <c r="I17" s="3" t="str">
        <f ca="1"/>
        <v>F</v>
      </c>
      <c r="J17" s="3" t="str">
        <f ca="1"/>
        <v>T</v>
      </c>
      <c r="K17" s="12">
        <f ca="1"/>
        <v>49.081396966677332</v>
      </c>
      <c r="L17" s="3">
        <f ca="1"/>
        <v>2.4E-2</v>
      </c>
      <c r="M17" s="3">
        <f ca="1"/>
        <v>342.71350097656199</v>
      </c>
      <c r="N17" s="3">
        <f ca="1"/>
        <v>342.2919921875</v>
      </c>
      <c r="O17" s="3">
        <f ca="1"/>
        <v>0</v>
      </c>
      <c r="P17" s="3">
        <f ca="1"/>
        <v>0</v>
      </c>
      <c r="Q17" s="3" t="str">
        <f ca="1"/>
        <v xml:space="preserve"> </v>
      </c>
      <c r="R17" s="3" t="str">
        <f ca="1"/>
        <v xml:space="preserve"> </v>
      </c>
      <c r="S17" s="3">
        <f ca="1"/>
        <v>0</v>
      </c>
      <c r="T17" s="3">
        <f ca="1"/>
        <v>1.5</v>
      </c>
      <c r="U17" s="3">
        <f ca="1"/>
        <v>0</v>
      </c>
      <c r="V17" s="3">
        <f ca="1"/>
        <v>4</v>
      </c>
      <c r="W17" s="3">
        <f ca="1"/>
        <v>0</v>
      </c>
      <c r="X17" s="3">
        <f ca="1"/>
        <v>1</v>
      </c>
      <c r="Y17" s="3">
        <f ca="1"/>
        <v>0.5</v>
      </c>
      <c r="Z17" s="3">
        <f ca="1"/>
        <v>1</v>
      </c>
    </row>
    <row r="18" spans="1:29" x14ac:dyDescent="0.25">
      <c r="A18">
        <f ca="1"/>
        <v>17</v>
      </c>
      <c r="B18" s="3" t="str">
        <f ca="1"/>
        <v>R-14b</v>
      </c>
      <c r="C18" s="3" t="str">
        <f ca="1"/>
        <v>R-14b</v>
      </c>
      <c r="D18" s="3">
        <f ca="1"/>
        <v>0</v>
      </c>
      <c r="E18" s="3">
        <f ca="1"/>
        <v>9</v>
      </c>
      <c r="F18" s="3">
        <f ca="1"/>
        <v>692159.25583927496</v>
      </c>
      <c r="G18" s="3">
        <f ca="1"/>
        <v>7571463.0868563401</v>
      </c>
      <c r="H18" s="3" t="str">
        <f ca="1"/>
        <v>C</v>
      </c>
      <c r="I18" s="3" t="str">
        <f ca="1"/>
        <v>F</v>
      </c>
      <c r="J18" s="3" t="str">
        <f ca="1"/>
        <v>T</v>
      </c>
      <c r="K18" s="12">
        <f ca="1"/>
        <v>35.961433166370064</v>
      </c>
      <c r="L18" s="3">
        <f ca="1"/>
        <v>2.4E-2</v>
      </c>
      <c r="M18" s="3">
        <f ca="1"/>
        <v>346.56299999999999</v>
      </c>
      <c r="N18" s="3">
        <f ca="1"/>
        <v>345.32499999999999</v>
      </c>
      <c r="O18" s="3">
        <f ca="1"/>
        <v>0</v>
      </c>
      <c r="P18" s="3">
        <f ca="1"/>
        <v>0</v>
      </c>
      <c r="Q18" s="3" t="str">
        <f ca="1"/>
        <v xml:space="preserve"> </v>
      </c>
      <c r="R18" s="3" t="str">
        <f ca="1"/>
        <v xml:space="preserve"> </v>
      </c>
      <c r="S18" s="3">
        <f ca="1"/>
        <v>0</v>
      </c>
      <c r="T18" s="3">
        <f ca="1"/>
        <v>0.9</v>
      </c>
      <c r="U18" s="3">
        <f ca="1"/>
        <v>0</v>
      </c>
      <c r="V18" s="3">
        <f ca="1"/>
        <v>1</v>
      </c>
      <c r="W18" s="3">
        <f ca="1"/>
        <v>0</v>
      </c>
      <c r="X18" s="3">
        <f ca="1"/>
        <v>1</v>
      </c>
      <c r="Y18" s="3">
        <f ca="1"/>
        <v>0.5</v>
      </c>
      <c r="Z18" s="3">
        <f ca="1"/>
        <v>1</v>
      </c>
      <c r="AB18" t="s">
        <v>83</v>
      </c>
      <c r="AC18">
        <f ca="1">COUNTA(_xlfn.ANCHORARRAY('PointsTidy - master'!B4))+1</f>
        <v>61</v>
      </c>
    </row>
    <row r="19" spans="1:29" x14ac:dyDescent="0.25">
      <c r="A19">
        <f ca="1"/>
        <v>18</v>
      </c>
      <c r="B19" s="3" t="str">
        <f ca="1"/>
        <v>R-14b</v>
      </c>
      <c r="C19" s="3" t="str">
        <f ca="1"/>
        <v>R-14b</v>
      </c>
      <c r="D19" s="3">
        <f ca="1"/>
        <v>1</v>
      </c>
      <c r="E19" s="3">
        <f ca="1"/>
        <v>9</v>
      </c>
      <c r="F19" s="3">
        <f ca="1"/>
        <v>692189.49452477403</v>
      </c>
      <c r="G19" s="3">
        <f ca="1"/>
        <v>7571443.62287487</v>
      </c>
      <c r="H19" s="3" t="str">
        <f ca="1"/>
        <v>C</v>
      </c>
      <c r="I19" s="3" t="str">
        <f ca="1"/>
        <v>F</v>
      </c>
      <c r="J19" s="3" t="str">
        <f ca="1"/>
        <v>T</v>
      </c>
      <c r="K19" s="12">
        <f ca="1"/>
        <v>35.961433166370064</v>
      </c>
      <c r="L19" s="3">
        <f ca="1"/>
        <v>2.4E-2</v>
      </c>
      <c r="M19" s="3">
        <f ca="1"/>
        <v>346.56299999999999</v>
      </c>
      <c r="N19" s="3">
        <f ca="1"/>
        <v>345.32499999999999</v>
      </c>
      <c r="O19" s="3">
        <f ca="1"/>
        <v>0</v>
      </c>
      <c r="P19" s="3">
        <f ca="1"/>
        <v>0</v>
      </c>
      <c r="Q19" s="3" t="str">
        <f ca="1"/>
        <v xml:space="preserve"> </v>
      </c>
      <c r="R19" s="3" t="str">
        <f ca="1"/>
        <v xml:space="preserve"> </v>
      </c>
      <c r="S19" s="3">
        <f ca="1"/>
        <v>0</v>
      </c>
      <c r="T19" s="3">
        <f ca="1"/>
        <v>0.9</v>
      </c>
      <c r="U19" s="3">
        <f ca="1"/>
        <v>0</v>
      </c>
      <c r="V19" s="3">
        <f ca="1"/>
        <v>1</v>
      </c>
      <c r="W19" s="3">
        <f ca="1"/>
        <v>0</v>
      </c>
      <c r="X19" s="3">
        <f ca="1"/>
        <v>1</v>
      </c>
      <c r="Y19" s="3">
        <f ca="1"/>
        <v>0.5</v>
      </c>
      <c r="Z19" s="3">
        <f ca="1"/>
        <v>1</v>
      </c>
    </row>
    <row r="20" spans="1:29" x14ac:dyDescent="0.25">
      <c r="A20">
        <f ca="1"/>
        <v>19</v>
      </c>
      <c r="B20" s="3" t="str">
        <f ca="1"/>
        <v>R-15</v>
      </c>
      <c r="C20" s="3" t="str">
        <f ca="1"/>
        <v>R-15</v>
      </c>
      <c r="D20" s="3">
        <f ca="1"/>
        <v>0</v>
      </c>
      <c r="E20" s="3">
        <f ca="1"/>
        <v>10</v>
      </c>
      <c r="F20" s="3">
        <f ca="1"/>
        <v>692168.81958292099</v>
      </c>
      <c r="G20" s="3">
        <f ca="1"/>
        <v>7571777.4069992704</v>
      </c>
      <c r="H20" s="3" t="str">
        <f ca="1"/>
        <v>C</v>
      </c>
      <c r="I20" s="3" t="str">
        <f ca="1"/>
        <v>F</v>
      </c>
      <c r="J20" s="3" t="str">
        <f ca="1"/>
        <v>T</v>
      </c>
      <c r="K20" s="12">
        <f ca="1"/>
        <v>41.263978784633238</v>
      </c>
      <c r="L20" s="3">
        <f ca="1"/>
        <v>2.4E-2</v>
      </c>
      <c r="M20" s="3">
        <f ca="1"/>
        <v>344.97506713867102</v>
      </c>
      <c r="N20" s="3">
        <f ca="1"/>
        <v>344.48989868164</v>
      </c>
      <c r="O20" s="3">
        <f ca="1"/>
        <v>0</v>
      </c>
      <c r="P20" s="3">
        <f ca="1"/>
        <v>0</v>
      </c>
      <c r="Q20" s="3" t="str">
        <f ca="1"/>
        <v xml:space="preserve"> </v>
      </c>
      <c r="R20" s="3" t="str">
        <f ca="1"/>
        <v xml:space="preserve"> </v>
      </c>
      <c r="S20" s="3">
        <f ca="1"/>
        <v>0</v>
      </c>
      <c r="T20" s="3">
        <f ca="1"/>
        <v>1.5</v>
      </c>
      <c r="U20" s="3">
        <f ca="1"/>
        <v>0</v>
      </c>
      <c r="V20" s="3">
        <f ca="1"/>
        <v>2</v>
      </c>
      <c r="W20" s="3">
        <f ca="1"/>
        <v>0</v>
      </c>
      <c r="X20" s="3">
        <f ca="1"/>
        <v>1</v>
      </c>
      <c r="Y20" s="3">
        <f ca="1"/>
        <v>0.5</v>
      </c>
      <c r="Z20" s="3">
        <f ca="1"/>
        <v>1</v>
      </c>
    </row>
    <row r="21" spans="1:29" x14ac:dyDescent="0.25">
      <c r="A21">
        <f ca="1"/>
        <v>20</v>
      </c>
      <c r="B21" s="3" t="str">
        <f ca="1"/>
        <v>R-15</v>
      </c>
      <c r="C21" s="3" t="str">
        <f ca="1"/>
        <v>R-15</v>
      </c>
      <c r="D21" s="3">
        <f ca="1"/>
        <v>1</v>
      </c>
      <c r="E21" s="3">
        <f ca="1"/>
        <v>10</v>
      </c>
      <c r="F21" s="3">
        <f ca="1"/>
        <v>692207.45625024103</v>
      </c>
      <c r="G21" s="3">
        <f ca="1"/>
        <v>7571762.9182490297</v>
      </c>
      <c r="H21" s="3" t="str">
        <f ca="1"/>
        <v>C</v>
      </c>
      <c r="I21" s="3" t="str">
        <f ca="1"/>
        <v>F</v>
      </c>
      <c r="J21" s="3" t="str">
        <f ca="1"/>
        <v>T</v>
      </c>
      <c r="K21" s="12">
        <f ca="1"/>
        <v>41.263978784633238</v>
      </c>
      <c r="L21" s="3">
        <f ca="1"/>
        <v>2.4E-2</v>
      </c>
      <c r="M21" s="3">
        <f ca="1"/>
        <v>344.97506713867102</v>
      </c>
      <c r="N21" s="3">
        <f ca="1"/>
        <v>344.48989868164</v>
      </c>
      <c r="O21" s="3">
        <f ca="1"/>
        <v>0</v>
      </c>
      <c r="P21" s="3">
        <f ca="1"/>
        <v>0</v>
      </c>
      <c r="Q21" s="3" t="str">
        <f ca="1"/>
        <v xml:space="preserve"> </v>
      </c>
      <c r="R21" s="3" t="str">
        <f ca="1"/>
        <v xml:space="preserve"> </v>
      </c>
      <c r="S21" s="3">
        <f ca="1"/>
        <v>0</v>
      </c>
      <c r="T21" s="3">
        <f ca="1"/>
        <v>1.5</v>
      </c>
      <c r="U21" s="3">
        <f ca="1"/>
        <v>0</v>
      </c>
      <c r="V21" s="3">
        <f ca="1"/>
        <v>2</v>
      </c>
      <c r="W21" s="3">
        <f ca="1"/>
        <v>0</v>
      </c>
      <c r="X21" s="3">
        <f ca="1"/>
        <v>1</v>
      </c>
      <c r="Y21" s="3">
        <f ca="1"/>
        <v>0.5</v>
      </c>
      <c r="Z21" s="3">
        <f ca="1"/>
        <v>1</v>
      </c>
    </row>
    <row r="22" spans="1:29" x14ac:dyDescent="0.25">
      <c r="A22">
        <f ca="1"/>
        <v>21</v>
      </c>
      <c r="B22" s="3" t="str">
        <f ca="1"/>
        <v>R-16</v>
      </c>
      <c r="C22" s="3" t="str">
        <f ca="1"/>
        <v>R-16</v>
      </c>
      <c r="D22" s="3">
        <f ca="1"/>
        <v>0</v>
      </c>
      <c r="E22" s="3">
        <f ca="1"/>
        <v>11</v>
      </c>
      <c r="F22" s="3">
        <f ca="1"/>
        <v>692181.915184104</v>
      </c>
      <c r="G22" s="3">
        <f ca="1"/>
        <v>7572253.02808904</v>
      </c>
      <c r="H22" s="3" t="str">
        <f ca="1"/>
        <v>C</v>
      </c>
      <c r="I22" s="3" t="str">
        <f ca="1"/>
        <v>F</v>
      </c>
      <c r="J22" s="3" t="str">
        <f ca="1"/>
        <v>T</v>
      </c>
      <c r="K22" s="12">
        <f ca="1"/>
        <v>45.09223694459093</v>
      </c>
      <c r="L22" s="3">
        <f ca="1"/>
        <v>2.4E-2</v>
      </c>
      <c r="M22" s="3">
        <f ca="1"/>
        <v>347.94793701171801</v>
      </c>
      <c r="N22" s="3">
        <f ca="1"/>
        <v>347.10491943359301</v>
      </c>
      <c r="O22" s="3">
        <f ca="1"/>
        <v>0</v>
      </c>
      <c r="P22" s="3">
        <f ca="1"/>
        <v>0</v>
      </c>
      <c r="Q22" s="3" t="str">
        <f ca="1"/>
        <v xml:space="preserve"> </v>
      </c>
      <c r="R22" s="3" t="str">
        <f ca="1"/>
        <v xml:space="preserve"> </v>
      </c>
      <c r="S22" s="3">
        <f ca="1"/>
        <v>0</v>
      </c>
      <c r="T22" s="3">
        <f ca="1"/>
        <v>1.2</v>
      </c>
      <c r="U22" s="3">
        <f ca="1"/>
        <v>0</v>
      </c>
      <c r="V22" s="3">
        <f ca="1"/>
        <v>1</v>
      </c>
      <c r="W22" s="3">
        <f ca="1"/>
        <v>0</v>
      </c>
      <c r="X22" s="3">
        <f ca="1"/>
        <v>1</v>
      </c>
      <c r="Y22" s="3">
        <f ca="1"/>
        <v>0.5</v>
      </c>
      <c r="Z22" s="3">
        <f ca="1"/>
        <v>1</v>
      </c>
    </row>
    <row r="23" spans="1:29" x14ac:dyDescent="0.25">
      <c r="A23">
        <f ca="1"/>
        <v>22</v>
      </c>
      <c r="B23" s="3" t="str">
        <f ca="1"/>
        <v>R-16</v>
      </c>
      <c r="C23" s="3" t="str">
        <f ca="1"/>
        <v>R-16</v>
      </c>
      <c r="D23" s="3">
        <f ca="1"/>
        <v>1</v>
      </c>
      <c r="E23" s="3">
        <f ca="1"/>
        <v>11</v>
      </c>
      <c r="F23" s="3">
        <f ca="1"/>
        <v>692226.58883069304</v>
      </c>
      <c r="G23" s="3">
        <f ca="1"/>
        <v>7572259.1579449195</v>
      </c>
      <c r="H23" s="3" t="str">
        <f ca="1"/>
        <v>C</v>
      </c>
      <c r="I23" s="3" t="str">
        <f ca="1"/>
        <v>F</v>
      </c>
      <c r="J23" s="3" t="str">
        <f ca="1"/>
        <v>T</v>
      </c>
      <c r="K23" s="12">
        <f ca="1"/>
        <v>45.09223694459093</v>
      </c>
      <c r="L23" s="3">
        <f ca="1"/>
        <v>2.4E-2</v>
      </c>
      <c r="M23" s="3">
        <f ca="1"/>
        <v>347.94793701171801</v>
      </c>
      <c r="N23" s="3">
        <f ca="1"/>
        <v>347.10491943359301</v>
      </c>
      <c r="O23" s="3">
        <f ca="1"/>
        <v>0</v>
      </c>
      <c r="P23" s="3">
        <f ca="1"/>
        <v>0</v>
      </c>
      <c r="Q23" s="3" t="str">
        <f ca="1"/>
        <v xml:space="preserve"> </v>
      </c>
      <c r="R23" s="3" t="str">
        <f ca="1"/>
        <v xml:space="preserve"> </v>
      </c>
      <c r="S23" s="3">
        <f ca="1"/>
        <v>0</v>
      </c>
      <c r="T23" s="3">
        <f ca="1"/>
        <v>1.2</v>
      </c>
      <c r="U23" s="3">
        <f ca="1"/>
        <v>0</v>
      </c>
      <c r="V23" s="3">
        <f ca="1"/>
        <v>1</v>
      </c>
      <c r="W23" s="3">
        <f ca="1"/>
        <v>0</v>
      </c>
      <c r="X23" s="3">
        <f ca="1"/>
        <v>1</v>
      </c>
      <c r="Y23" s="3">
        <f ca="1"/>
        <v>0.5</v>
      </c>
      <c r="Z23" s="3">
        <f ca="1"/>
        <v>1</v>
      </c>
    </row>
    <row r="24" spans="1:29" x14ac:dyDescent="0.25">
      <c r="A24">
        <f ca="1"/>
        <v>23</v>
      </c>
      <c r="B24" s="3" t="str">
        <f ca="1"/>
        <v>R-17</v>
      </c>
      <c r="C24" s="3" t="str">
        <f ca="1"/>
        <v>R-17</v>
      </c>
      <c r="D24" s="3">
        <f ca="1"/>
        <v>0</v>
      </c>
      <c r="E24" s="3">
        <f ca="1"/>
        <v>12</v>
      </c>
      <c r="F24" s="3">
        <f ca="1"/>
        <v>692436.02557301603</v>
      </c>
      <c r="G24" s="3">
        <f ca="1"/>
        <v>7573348.6933880197</v>
      </c>
      <c r="H24" s="3" t="str">
        <f ca="1"/>
        <v>C</v>
      </c>
      <c r="I24" s="3" t="str">
        <f ca="1"/>
        <v>F</v>
      </c>
      <c r="J24" s="3" t="str">
        <f ca="1"/>
        <v>T</v>
      </c>
      <c r="K24" s="12">
        <f ca="1"/>
        <v>31.569849349324194</v>
      </c>
      <c r="L24" s="3">
        <f ca="1"/>
        <v>2.4E-2</v>
      </c>
      <c r="M24" s="3">
        <f ca="1"/>
        <v>337.30044555664</v>
      </c>
      <c r="N24" s="3">
        <f ca="1"/>
        <v>337.15353393554602</v>
      </c>
      <c r="O24" s="3">
        <f ca="1"/>
        <v>0</v>
      </c>
      <c r="P24" s="3">
        <f ca="1"/>
        <v>0</v>
      </c>
      <c r="Q24" s="3" t="str">
        <f ca="1"/>
        <v xml:space="preserve"> </v>
      </c>
      <c r="R24" s="3" t="str">
        <f ca="1"/>
        <v xml:space="preserve"> </v>
      </c>
      <c r="S24" s="3">
        <f ca="1"/>
        <v>0</v>
      </c>
      <c r="T24" s="3">
        <f ca="1"/>
        <v>1.5</v>
      </c>
      <c r="U24" s="3">
        <f ca="1"/>
        <v>0</v>
      </c>
      <c r="V24" s="3">
        <f ca="1"/>
        <v>2</v>
      </c>
      <c r="W24" s="3">
        <f ca="1"/>
        <v>0</v>
      </c>
      <c r="X24" s="3">
        <f ca="1"/>
        <v>1</v>
      </c>
      <c r="Y24" s="3">
        <f ca="1"/>
        <v>0.5</v>
      </c>
      <c r="Z24" s="3">
        <f ca="1"/>
        <v>1</v>
      </c>
    </row>
    <row r="25" spans="1:29" x14ac:dyDescent="0.25">
      <c r="A25">
        <f ca="1"/>
        <v>24</v>
      </c>
      <c r="B25" s="3" t="str">
        <f ca="1"/>
        <v>R-17</v>
      </c>
      <c r="C25" s="3" t="str">
        <f ca="1"/>
        <v>R-17</v>
      </c>
      <c r="D25" s="3">
        <f ca="1"/>
        <v>1</v>
      </c>
      <c r="E25" s="3">
        <f ca="1"/>
        <v>12</v>
      </c>
      <c r="F25" s="3">
        <f ca="1"/>
        <v>692464.07430746395</v>
      </c>
      <c r="G25" s="3">
        <f ca="1"/>
        <v>7573334.2046377696</v>
      </c>
      <c r="H25" s="3" t="str">
        <f ca="1"/>
        <v>C</v>
      </c>
      <c r="I25" s="3" t="str">
        <f ca="1"/>
        <v>F</v>
      </c>
      <c r="J25" s="3" t="str">
        <f ca="1"/>
        <v>T</v>
      </c>
      <c r="K25" s="12">
        <f ca="1"/>
        <v>31.569849349324194</v>
      </c>
      <c r="L25" s="3">
        <f ca="1"/>
        <v>2.4E-2</v>
      </c>
      <c r="M25" s="3">
        <f ca="1"/>
        <v>337.30044555664</v>
      </c>
      <c r="N25" s="3">
        <f ca="1"/>
        <v>337.15353393554602</v>
      </c>
      <c r="O25" s="3">
        <f ca="1"/>
        <v>0</v>
      </c>
      <c r="P25" s="3">
        <f ca="1"/>
        <v>0</v>
      </c>
      <c r="Q25" s="3" t="str">
        <f ca="1"/>
        <v xml:space="preserve"> </v>
      </c>
      <c r="R25" s="3" t="str">
        <f ca="1"/>
        <v xml:space="preserve"> </v>
      </c>
      <c r="S25" s="3">
        <f ca="1"/>
        <v>0</v>
      </c>
      <c r="T25" s="3">
        <f ca="1"/>
        <v>1.5</v>
      </c>
      <c r="U25" s="3">
        <f ca="1"/>
        <v>0</v>
      </c>
      <c r="V25" s="3">
        <f ca="1"/>
        <v>2</v>
      </c>
      <c r="W25" s="3">
        <f ca="1"/>
        <v>0</v>
      </c>
      <c r="X25" s="3">
        <f ca="1"/>
        <v>1</v>
      </c>
      <c r="Y25" s="3">
        <f ca="1"/>
        <v>0.5</v>
      </c>
      <c r="Z25" s="3">
        <f ca="1"/>
        <v>1</v>
      </c>
    </row>
    <row r="26" spans="1:29" x14ac:dyDescent="0.25">
      <c r="A26">
        <f ca="1"/>
        <v>25</v>
      </c>
      <c r="B26" s="3" t="str">
        <f ca="1"/>
        <v>R-17b</v>
      </c>
      <c r="C26" s="3" t="str">
        <f ca="1"/>
        <v>R-17b</v>
      </c>
      <c r="D26" s="3">
        <f ca="1"/>
        <v>0</v>
      </c>
      <c r="E26" s="3">
        <f ca="1"/>
        <v>13</v>
      </c>
      <c r="F26" s="3">
        <f ca="1"/>
        <v>692464.72444369295</v>
      </c>
      <c r="G26" s="3">
        <f ca="1"/>
        <v>7573513.2707305402</v>
      </c>
      <c r="H26" s="3" t="str">
        <f ca="1"/>
        <v>C</v>
      </c>
      <c r="I26" s="3" t="str">
        <f ca="1"/>
        <v>F</v>
      </c>
      <c r="J26" s="3" t="str">
        <f ca="1"/>
        <v>T</v>
      </c>
      <c r="K26" s="12">
        <f ca="1"/>
        <v>43.031445661568341</v>
      </c>
      <c r="L26" s="3">
        <f ca="1"/>
        <v>2.4E-2</v>
      </c>
      <c r="M26" s="3">
        <f ca="1"/>
        <v>337.62054443359301</v>
      </c>
      <c r="N26" s="3">
        <f ca="1"/>
        <v>336.73544311523398</v>
      </c>
      <c r="O26" s="3">
        <f ca="1"/>
        <v>0</v>
      </c>
      <c r="P26" s="3">
        <f ca="1"/>
        <v>0</v>
      </c>
      <c r="Q26" s="3" t="str">
        <f ca="1"/>
        <v xml:space="preserve"> </v>
      </c>
      <c r="R26" s="3" t="str">
        <f ca="1"/>
        <v xml:space="preserve"> </v>
      </c>
      <c r="S26" s="3">
        <f ca="1"/>
        <v>0</v>
      </c>
      <c r="T26" s="3">
        <f ca="1"/>
        <v>0.9</v>
      </c>
      <c r="U26" s="3">
        <f ca="1"/>
        <v>0</v>
      </c>
      <c r="V26" s="3">
        <f ca="1"/>
        <v>1</v>
      </c>
      <c r="W26" s="3">
        <f ca="1"/>
        <v>0</v>
      </c>
      <c r="X26" s="3">
        <f ca="1"/>
        <v>1</v>
      </c>
      <c r="Y26" s="3">
        <f ca="1"/>
        <v>0.5</v>
      </c>
      <c r="Z26" s="3">
        <f ca="1"/>
        <v>1</v>
      </c>
    </row>
    <row r="27" spans="1:29" x14ac:dyDescent="0.25">
      <c r="A27">
        <f ca="1"/>
        <v>26</v>
      </c>
      <c r="B27" s="3" t="str">
        <f ca="1"/>
        <v>R-17b</v>
      </c>
      <c r="C27" s="3" t="str">
        <f ca="1"/>
        <v>R-17b</v>
      </c>
      <c r="D27" s="3">
        <f ca="1"/>
        <v>1</v>
      </c>
      <c r="E27" s="3">
        <f ca="1"/>
        <v>13</v>
      </c>
      <c r="F27" s="3">
        <f ca="1"/>
        <v>692507.26192838699</v>
      </c>
      <c r="G27" s="3">
        <f ca="1"/>
        <v>7573519.7720928304</v>
      </c>
      <c r="H27" s="3" t="str">
        <f ca="1"/>
        <v>C</v>
      </c>
      <c r="I27" s="3" t="str">
        <f ca="1"/>
        <v>F</v>
      </c>
      <c r="J27" s="3" t="str">
        <f ca="1"/>
        <v>T</v>
      </c>
      <c r="K27" s="12">
        <f ca="1"/>
        <v>43.031445661568341</v>
      </c>
      <c r="L27" s="3">
        <f ca="1"/>
        <v>2.4E-2</v>
      </c>
      <c r="M27" s="3">
        <f ca="1"/>
        <v>337.62054443359301</v>
      </c>
      <c r="N27" s="3">
        <f ca="1"/>
        <v>336.73544311523398</v>
      </c>
      <c r="O27" s="3">
        <f ca="1"/>
        <v>0</v>
      </c>
      <c r="P27" s="3">
        <f ca="1"/>
        <v>0</v>
      </c>
      <c r="Q27" s="3" t="str">
        <f ca="1"/>
        <v xml:space="preserve"> </v>
      </c>
      <c r="R27" s="3" t="str">
        <f ca="1"/>
        <v xml:space="preserve"> </v>
      </c>
      <c r="S27" s="3">
        <f ca="1"/>
        <v>0</v>
      </c>
      <c r="T27" s="3">
        <f ca="1"/>
        <v>0.9</v>
      </c>
      <c r="U27" s="3">
        <f ca="1"/>
        <v>0</v>
      </c>
      <c r="V27" s="3">
        <f ca="1"/>
        <v>1</v>
      </c>
      <c r="W27" s="3">
        <f ca="1"/>
        <v>0</v>
      </c>
      <c r="X27" s="3">
        <f ca="1"/>
        <v>1</v>
      </c>
      <c r="Y27" s="3">
        <f ca="1"/>
        <v>0.5</v>
      </c>
      <c r="Z27" s="3">
        <f ca="1"/>
        <v>1</v>
      </c>
    </row>
    <row r="28" spans="1:29" x14ac:dyDescent="0.25">
      <c r="A28">
        <f ca="1"/>
        <v>27</v>
      </c>
      <c r="B28" s="3" t="str">
        <f ca="1"/>
        <v>R-18</v>
      </c>
      <c r="C28" s="3" t="str">
        <f ca="1"/>
        <v>R-18</v>
      </c>
      <c r="D28" s="3">
        <f ca="1"/>
        <v>0</v>
      </c>
      <c r="E28" s="3">
        <f ca="1"/>
        <v>14</v>
      </c>
      <c r="F28" s="3">
        <f ca="1"/>
        <v>693222.05678410595</v>
      </c>
      <c r="G28" s="3">
        <f ca="1"/>
        <v>7574705.8894853396</v>
      </c>
      <c r="H28" s="3" t="str">
        <f ca="1"/>
        <v>C</v>
      </c>
      <c r="I28" s="3" t="str">
        <f ca="1"/>
        <v>F</v>
      </c>
      <c r="J28" s="3" t="str">
        <f ca="1"/>
        <v>T</v>
      </c>
      <c r="K28" s="12">
        <f ca="1"/>
        <v>29.557580412442007</v>
      </c>
      <c r="L28" s="3">
        <f ca="1"/>
        <v>2.4E-2</v>
      </c>
      <c r="M28" s="3">
        <f ca="1"/>
        <v>326.11297607421801</v>
      </c>
      <c r="N28" s="3">
        <f ca="1"/>
        <v>326.04397583007801</v>
      </c>
      <c r="O28" s="3">
        <f ca="1"/>
        <v>0</v>
      </c>
      <c r="P28" s="3">
        <f ca="1"/>
        <v>0</v>
      </c>
      <c r="Q28" s="3" t="str">
        <f ca="1"/>
        <v xml:space="preserve"> </v>
      </c>
      <c r="R28" s="3" t="str">
        <f ca="1"/>
        <v xml:space="preserve"> </v>
      </c>
      <c r="S28" s="3">
        <f ca="1"/>
        <v>0</v>
      </c>
      <c r="T28" s="3">
        <f ca="1"/>
        <v>1.2</v>
      </c>
      <c r="U28" s="3">
        <f ca="1"/>
        <v>0</v>
      </c>
      <c r="V28" s="3">
        <f ca="1"/>
        <v>5</v>
      </c>
      <c r="W28" s="3">
        <f ca="1"/>
        <v>0</v>
      </c>
      <c r="X28" s="3">
        <f ca="1"/>
        <v>1</v>
      </c>
      <c r="Y28" s="3">
        <f ca="1"/>
        <v>0.5</v>
      </c>
      <c r="Z28" s="3">
        <f ca="1"/>
        <v>1</v>
      </c>
    </row>
    <row r="29" spans="1:29" x14ac:dyDescent="0.25">
      <c r="A29">
        <f ca="1"/>
        <v>28</v>
      </c>
      <c r="B29" s="3" t="str">
        <f ca="1"/>
        <v>R-18</v>
      </c>
      <c r="C29" s="3" t="str">
        <f ca="1"/>
        <v>R-18</v>
      </c>
      <c r="D29" s="3">
        <f ca="1"/>
        <v>1</v>
      </c>
      <c r="E29" s="3">
        <f ca="1"/>
        <v>14</v>
      </c>
      <c r="F29" s="3">
        <f ca="1"/>
        <v>693238.80200534104</v>
      </c>
      <c r="G29" s="3">
        <f ca="1"/>
        <v>7574681.5327998996</v>
      </c>
      <c r="H29" s="3" t="str">
        <f ca="1"/>
        <v>C</v>
      </c>
      <c r="I29" s="3" t="str">
        <f ca="1"/>
        <v>F</v>
      </c>
      <c r="J29" s="3" t="str">
        <f ca="1"/>
        <v>T</v>
      </c>
      <c r="K29" s="12">
        <f ca="1"/>
        <v>29.557580412442007</v>
      </c>
      <c r="L29" s="3">
        <f ca="1"/>
        <v>2.4E-2</v>
      </c>
      <c r="M29" s="3">
        <f ca="1"/>
        <v>326.11297607421801</v>
      </c>
      <c r="N29" s="3">
        <f ca="1"/>
        <v>326.04397583007801</v>
      </c>
      <c r="O29" s="3">
        <f ca="1"/>
        <v>0</v>
      </c>
      <c r="P29" s="3">
        <f ca="1"/>
        <v>0</v>
      </c>
      <c r="Q29" s="3" t="str">
        <f ca="1"/>
        <v xml:space="preserve"> </v>
      </c>
      <c r="R29" s="3" t="str">
        <f ca="1"/>
        <v xml:space="preserve"> </v>
      </c>
      <c r="S29" s="3">
        <f ca="1"/>
        <v>0</v>
      </c>
      <c r="T29" s="3">
        <f ca="1"/>
        <v>1.2</v>
      </c>
      <c r="U29" s="3">
        <f ca="1"/>
        <v>0</v>
      </c>
      <c r="V29" s="3">
        <f ca="1"/>
        <v>5</v>
      </c>
      <c r="W29" s="3">
        <f ca="1"/>
        <v>0</v>
      </c>
      <c r="X29" s="3">
        <f ca="1"/>
        <v>1</v>
      </c>
      <c r="Y29" s="3">
        <f ca="1"/>
        <v>0.5</v>
      </c>
      <c r="Z29" s="3">
        <f ca="1"/>
        <v>1</v>
      </c>
    </row>
    <row r="30" spans="1:29" x14ac:dyDescent="0.25">
      <c r="A30">
        <f ca="1"/>
        <v>29</v>
      </c>
      <c r="B30" s="3" t="str">
        <f ca="1"/>
        <v>R-18b</v>
      </c>
      <c r="C30" s="3" t="str">
        <f ca="1"/>
        <v>R-18b</v>
      </c>
      <c r="D30" s="3">
        <f ca="1"/>
        <v>0</v>
      </c>
      <c r="E30" s="3">
        <f ca="1"/>
        <v>15</v>
      </c>
      <c r="F30" s="3">
        <f ca="1"/>
        <v>692998.12120233697</v>
      </c>
      <c r="G30" s="3">
        <f ca="1"/>
        <v>7574357.6733693704</v>
      </c>
      <c r="H30" s="3" t="str">
        <f ca="1"/>
        <v>C</v>
      </c>
      <c r="I30" s="3" t="str">
        <f ca="1"/>
        <v>F</v>
      </c>
      <c r="J30" s="3" t="str">
        <f ca="1"/>
        <v>T</v>
      </c>
      <c r="K30" s="12">
        <f ca="1"/>
        <v>60.422066727740912</v>
      </c>
      <c r="L30" s="3">
        <f ca="1"/>
        <v>2.4E-2</v>
      </c>
      <c r="M30" s="3">
        <f ca="1"/>
        <v>328.62905883789</v>
      </c>
      <c r="N30" s="3">
        <f ca="1"/>
        <v>328.225982666015</v>
      </c>
      <c r="O30" s="3">
        <f ca="1"/>
        <v>0</v>
      </c>
      <c r="P30" s="3">
        <f ca="1"/>
        <v>0</v>
      </c>
      <c r="Q30" s="3" t="str">
        <f ca="1"/>
        <v xml:space="preserve"> </v>
      </c>
      <c r="R30" s="3" t="str">
        <f ca="1"/>
        <v xml:space="preserve"> </v>
      </c>
      <c r="S30" s="3">
        <f ca="1"/>
        <v>0</v>
      </c>
      <c r="T30" s="3">
        <f ca="1"/>
        <v>1.2</v>
      </c>
      <c r="U30" s="3">
        <f ca="1"/>
        <v>0</v>
      </c>
      <c r="V30" s="3">
        <f ca="1"/>
        <v>1</v>
      </c>
      <c r="W30" s="3">
        <f ca="1"/>
        <v>0</v>
      </c>
      <c r="X30" s="3">
        <f ca="1"/>
        <v>1</v>
      </c>
      <c r="Y30" s="3">
        <f ca="1"/>
        <v>0.5</v>
      </c>
      <c r="Z30" s="3">
        <f ca="1"/>
        <v>1</v>
      </c>
    </row>
    <row r="31" spans="1:29" x14ac:dyDescent="0.25">
      <c r="A31">
        <f ca="1"/>
        <v>30</v>
      </c>
      <c r="B31" s="3" t="str">
        <f ca="1"/>
        <v>R-18b</v>
      </c>
      <c r="C31" s="3" t="str">
        <f ca="1"/>
        <v>R-18b</v>
      </c>
      <c r="D31" s="3">
        <f ca="1"/>
        <v>1</v>
      </c>
      <c r="E31" s="3">
        <f ca="1"/>
        <v>15</v>
      </c>
      <c r="F31" s="3">
        <f ca="1"/>
        <v>692940.16620135703</v>
      </c>
      <c r="G31" s="3">
        <f ca="1"/>
        <v>7574340.5840742104</v>
      </c>
      <c r="H31" s="3" t="str">
        <f ca="1"/>
        <v>C</v>
      </c>
      <c r="I31" s="3" t="str">
        <f ca="1"/>
        <v>F</v>
      </c>
      <c r="J31" s="3" t="str">
        <f ca="1"/>
        <v>T</v>
      </c>
      <c r="K31" s="12">
        <f ca="1"/>
        <v>60.422066727740912</v>
      </c>
      <c r="L31" s="3">
        <f ca="1"/>
        <v>2.4E-2</v>
      </c>
      <c r="M31" s="3">
        <f ca="1"/>
        <v>328.62905883789</v>
      </c>
      <c r="N31" s="3">
        <f ca="1"/>
        <v>328.225982666015</v>
      </c>
      <c r="O31" s="3">
        <f ca="1"/>
        <v>0</v>
      </c>
      <c r="P31" s="3">
        <f ca="1"/>
        <v>0</v>
      </c>
      <c r="Q31" s="3" t="str">
        <f ca="1"/>
        <v xml:space="preserve"> </v>
      </c>
      <c r="R31" s="3" t="str">
        <f ca="1"/>
        <v xml:space="preserve"> </v>
      </c>
      <c r="S31" s="3">
        <f ca="1"/>
        <v>0</v>
      </c>
      <c r="T31" s="3">
        <f ca="1"/>
        <v>1.2</v>
      </c>
      <c r="U31" s="3">
        <f ca="1"/>
        <v>0</v>
      </c>
      <c r="V31" s="3">
        <f ca="1"/>
        <v>1</v>
      </c>
      <c r="W31" s="3">
        <f ca="1"/>
        <v>0</v>
      </c>
      <c r="X31" s="3">
        <f ca="1"/>
        <v>1</v>
      </c>
      <c r="Y31" s="3">
        <f ca="1"/>
        <v>0.5</v>
      </c>
      <c r="Z31" s="3">
        <f ca="1"/>
        <v>1</v>
      </c>
    </row>
    <row r="32" spans="1:29" x14ac:dyDescent="0.25">
      <c r="A32">
        <f ca="1"/>
        <v>31</v>
      </c>
      <c r="B32" s="3" t="str">
        <f ca="1"/>
        <v>R-19</v>
      </c>
      <c r="C32" s="3" t="str">
        <f ca="1"/>
        <v>R-19</v>
      </c>
      <c r="D32" s="3">
        <f ca="1"/>
        <v>0</v>
      </c>
      <c r="E32" s="3">
        <f ca="1"/>
        <v>16</v>
      </c>
      <c r="F32" s="3">
        <f ca="1"/>
        <v>693362.01173733606</v>
      </c>
      <c r="G32" s="3">
        <f ca="1"/>
        <v>7574889.6705578603</v>
      </c>
      <c r="H32" s="3" t="str">
        <f ca="1"/>
        <v>C</v>
      </c>
      <c r="I32" s="3" t="str">
        <f ca="1"/>
        <v>F</v>
      </c>
      <c r="J32" s="3" t="str">
        <f ca="1"/>
        <v>T</v>
      </c>
      <c r="K32" s="12">
        <f ca="1"/>
        <v>23.918565803497451</v>
      </c>
      <c r="L32" s="3">
        <f ca="1"/>
        <v>2.4E-2</v>
      </c>
      <c r="M32" s="3">
        <f ca="1"/>
        <v>326.90853881835898</v>
      </c>
      <c r="N32" s="3">
        <f ca="1"/>
        <v>326.70608520507801</v>
      </c>
      <c r="O32" s="3">
        <f ca="1"/>
        <v>0</v>
      </c>
      <c r="P32" s="3">
        <f ca="1"/>
        <v>0</v>
      </c>
      <c r="Q32" s="3" t="str">
        <f ca="1"/>
        <v xml:space="preserve"> </v>
      </c>
      <c r="R32" s="3" t="str">
        <f ca="1"/>
        <v xml:space="preserve"> </v>
      </c>
      <c r="S32" s="3">
        <f ca="1"/>
        <v>0</v>
      </c>
      <c r="T32" s="3">
        <f ca="1"/>
        <v>0.9</v>
      </c>
      <c r="U32" s="3">
        <f ca="1"/>
        <v>0</v>
      </c>
      <c r="V32" s="3">
        <f ca="1"/>
        <v>4</v>
      </c>
      <c r="W32" s="3">
        <f ca="1"/>
        <v>0</v>
      </c>
      <c r="X32" s="3">
        <f ca="1"/>
        <v>1</v>
      </c>
      <c r="Y32" s="3">
        <f ca="1"/>
        <v>0.5</v>
      </c>
      <c r="Z32" s="3">
        <f ca="1"/>
        <v>1</v>
      </c>
    </row>
    <row r="33" spans="1:26" x14ac:dyDescent="0.25">
      <c r="A33">
        <f ca="1"/>
        <v>32</v>
      </c>
      <c r="B33" s="3" t="str">
        <f ca="1"/>
        <v>R-19</v>
      </c>
      <c r="C33" s="3" t="str">
        <f ca="1"/>
        <v>R-19</v>
      </c>
      <c r="D33" s="3">
        <f ca="1"/>
        <v>1</v>
      </c>
      <c r="E33" s="3">
        <f ca="1"/>
        <v>16</v>
      </c>
      <c r="F33" s="3">
        <f ca="1"/>
        <v>693376.96487060096</v>
      </c>
      <c r="G33" s="3">
        <f ca="1"/>
        <v>7574871.0023604203</v>
      </c>
      <c r="H33" s="3" t="str">
        <f ca="1"/>
        <v>C</v>
      </c>
      <c r="I33" s="3" t="str">
        <f ca="1"/>
        <v>F</v>
      </c>
      <c r="J33" s="3" t="str">
        <f ca="1"/>
        <v>T</v>
      </c>
      <c r="K33" s="12">
        <f ca="1"/>
        <v>23.918565803497451</v>
      </c>
      <c r="L33" s="3">
        <f ca="1"/>
        <v>2.4E-2</v>
      </c>
      <c r="M33" s="3">
        <f ca="1"/>
        <v>326.90853881835898</v>
      </c>
      <c r="N33" s="3">
        <f ca="1"/>
        <v>326.70608520507801</v>
      </c>
      <c r="O33" s="3">
        <f ca="1"/>
        <v>0</v>
      </c>
      <c r="P33" s="3">
        <f ca="1"/>
        <v>0</v>
      </c>
      <c r="Q33" s="3" t="str">
        <f ca="1"/>
        <v xml:space="preserve"> </v>
      </c>
      <c r="R33" s="3" t="str">
        <f ca="1"/>
        <v xml:space="preserve"> </v>
      </c>
      <c r="S33" s="3">
        <f ca="1"/>
        <v>0</v>
      </c>
      <c r="T33" s="3">
        <f ca="1"/>
        <v>0.9</v>
      </c>
      <c r="U33" s="3">
        <f ca="1"/>
        <v>0</v>
      </c>
      <c r="V33" s="3">
        <f ca="1"/>
        <v>4</v>
      </c>
      <c r="W33" s="3">
        <f ca="1"/>
        <v>0</v>
      </c>
      <c r="X33" s="3">
        <f ca="1"/>
        <v>1</v>
      </c>
      <c r="Y33" s="3">
        <f ca="1"/>
        <v>0.5</v>
      </c>
      <c r="Z33" s="3">
        <f ca="1"/>
        <v>1</v>
      </c>
    </row>
    <row r="34" spans="1:26" x14ac:dyDescent="0.25">
      <c r="A34">
        <f ca="1"/>
        <v>33</v>
      </c>
      <c r="B34" s="3" t="str">
        <f ca="1"/>
        <v>R-2</v>
      </c>
      <c r="C34" s="3" t="str">
        <f ca="1"/>
        <v>R-2</v>
      </c>
      <c r="D34" s="3">
        <f ca="1"/>
        <v>0</v>
      </c>
      <c r="E34" s="3">
        <f ca="1"/>
        <v>17</v>
      </c>
      <c r="F34" s="3">
        <f ca="1"/>
        <v>687639.36691419396</v>
      </c>
      <c r="G34" s="3">
        <f ca="1"/>
        <v>7566249.7165893205</v>
      </c>
      <c r="H34" s="3" t="str">
        <f ca="1"/>
        <v>C</v>
      </c>
      <c r="I34" s="3" t="str">
        <f ca="1"/>
        <v>F</v>
      </c>
      <c r="J34" s="3" t="str">
        <f ca="1"/>
        <v>T</v>
      </c>
      <c r="K34" s="12">
        <f ca="1"/>
        <v>52.287214443150383</v>
      </c>
      <c r="L34" s="3">
        <f ca="1"/>
        <v>2.4E-2</v>
      </c>
      <c r="M34" s="3">
        <f ca="1"/>
        <v>381.20260620117102</v>
      </c>
      <c r="N34" s="3">
        <f ca="1"/>
        <v>379.03842163085898</v>
      </c>
      <c r="O34" s="3">
        <f ca="1"/>
        <v>0</v>
      </c>
      <c r="P34" s="3">
        <f ca="1"/>
        <v>0</v>
      </c>
      <c r="Q34" s="3" t="str">
        <f ca="1"/>
        <v xml:space="preserve"> </v>
      </c>
      <c r="R34" s="3" t="str">
        <f ca="1"/>
        <v xml:space="preserve"> </v>
      </c>
      <c r="S34" s="3">
        <f ca="1"/>
        <v>0</v>
      </c>
      <c r="T34" s="3">
        <f ca="1"/>
        <v>1.5</v>
      </c>
      <c r="U34" s="3">
        <f ca="1"/>
        <v>0</v>
      </c>
      <c r="V34" s="3">
        <f ca="1"/>
        <v>1</v>
      </c>
      <c r="W34" s="3">
        <f ca="1"/>
        <v>0</v>
      </c>
      <c r="X34" s="3">
        <f ca="1"/>
        <v>1</v>
      </c>
      <c r="Y34" s="3">
        <f ca="1"/>
        <v>0.5</v>
      </c>
      <c r="Z34" s="3">
        <f ca="1"/>
        <v>1</v>
      </c>
    </row>
    <row r="35" spans="1:26" x14ac:dyDescent="0.25">
      <c r="A35">
        <f ca="1"/>
        <v>34</v>
      </c>
      <c r="B35" s="3" t="str">
        <f ca="1"/>
        <v>R-2</v>
      </c>
      <c r="C35" s="3" t="str">
        <f ca="1"/>
        <v>R-2</v>
      </c>
      <c r="D35" s="3">
        <f ca="1"/>
        <v>1</v>
      </c>
      <c r="E35" s="3">
        <f ca="1"/>
        <v>17</v>
      </c>
      <c r="F35" s="3">
        <f ca="1"/>
        <v>687647.90818442998</v>
      </c>
      <c r="G35" s="3">
        <f ca="1"/>
        <v>7566198.13171269</v>
      </c>
      <c r="H35" s="3" t="str">
        <f ca="1"/>
        <v>C</v>
      </c>
      <c r="I35" s="3" t="str">
        <f ca="1"/>
        <v>F</v>
      </c>
      <c r="J35" s="3" t="str">
        <f ca="1"/>
        <v>T</v>
      </c>
      <c r="K35" s="12">
        <f ca="1"/>
        <v>52.287214443150383</v>
      </c>
      <c r="L35" s="3">
        <f ca="1"/>
        <v>2.4E-2</v>
      </c>
      <c r="M35" s="3">
        <f ca="1"/>
        <v>381.20260620117102</v>
      </c>
      <c r="N35" s="3">
        <f ca="1"/>
        <v>379.03842163085898</v>
      </c>
      <c r="O35" s="3">
        <f ca="1"/>
        <v>0</v>
      </c>
      <c r="P35" s="3">
        <f ca="1"/>
        <v>0</v>
      </c>
      <c r="Q35" s="3" t="str">
        <f ca="1"/>
        <v xml:space="preserve"> </v>
      </c>
      <c r="R35" s="3" t="str">
        <f ca="1"/>
        <v xml:space="preserve"> </v>
      </c>
      <c r="S35" s="3">
        <f ca="1"/>
        <v>0</v>
      </c>
      <c r="T35" s="3">
        <f ca="1"/>
        <v>1.5</v>
      </c>
      <c r="U35" s="3">
        <f ca="1"/>
        <v>0</v>
      </c>
      <c r="V35" s="3">
        <f ca="1"/>
        <v>1</v>
      </c>
      <c r="W35" s="3">
        <f ca="1"/>
        <v>0</v>
      </c>
      <c r="X35" s="3">
        <f ca="1"/>
        <v>1</v>
      </c>
      <c r="Y35" s="3">
        <f ca="1"/>
        <v>0.5</v>
      </c>
      <c r="Z35" s="3">
        <f ca="1"/>
        <v>1</v>
      </c>
    </row>
    <row r="36" spans="1:26" x14ac:dyDescent="0.25">
      <c r="A36">
        <f ca="1"/>
        <v>35</v>
      </c>
      <c r="B36" s="3" t="str">
        <f ca="1"/>
        <v>R-20</v>
      </c>
      <c r="C36" s="3" t="str">
        <f ca="1"/>
        <v>R-20</v>
      </c>
      <c r="D36" s="3">
        <f ca="1"/>
        <v>0</v>
      </c>
      <c r="E36" s="3">
        <f ca="1"/>
        <v>18</v>
      </c>
      <c r="F36" s="3">
        <f ca="1"/>
        <v>694747.08053479204</v>
      </c>
      <c r="G36" s="3">
        <f ca="1"/>
        <v>7576921.1605200898</v>
      </c>
      <c r="H36" s="3" t="str">
        <f ca="1"/>
        <v>C</v>
      </c>
      <c r="I36" s="3" t="str">
        <f ca="1"/>
        <v>F</v>
      </c>
      <c r="J36" s="3" t="str">
        <f ca="1"/>
        <v>T</v>
      </c>
      <c r="K36" s="12">
        <f ca="1"/>
        <v>37.377588169323474</v>
      </c>
      <c r="L36" s="3">
        <f ca="1"/>
        <v>2.4E-2</v>
      </c>
      <c r="M36" s="3">
        <f ca="1"/>
        <v>315.327</v>
      </c>
      <c r="N36" s="3">
        <f ca="1"/>
        <v>315.01</v>
      </c>
      <c r="O36" s="3">
        <f ca="1"/>
        <v>0</v>
      </c>
      <c r="P36" s="3">
        <f ca="1"/>
        <v>0</v>
      </c>
      <c r="Q36" s="3" t="str">
        <f ca="1"/>
        <v xml:space="preserve"> </v>
      </c>
      <c r="R36" s="3" t="str">
        <f ca="1"/>
        <v xml:space="preserve"> </v>
      </c>
      <c r="S36" s="3">
        <f ca="1"/>
        <v>0</v>
      </c>
      <c r="T36" s="3">
        <f ca="1"/>
        <v>1.5</v>
      </c>
      <c r="U36" s="3">
        <f ca="1"/>
        <v>0</v>
      </c>
      <c r="V36" s="3">
        <f ca="1"/>
        <v>12</v>
      </c>
      <c r="W36" s="3">
        <f ca="1"/>
        <v>0</v>
      </c>
      <c r="X36" s="3">
        <f ca="1"/>
        <v>1</v>
      </c>
      <c r="Y36" s="3">
        <f ca="1"/>
        <v>0.5</v>
      </c>
      <c r="Z36" s="3">
        <f ca="1"/>
        <v>1</v>
      </c>
    </row>
    <row r="37" spans="1:26" x14ac:dyDescent="0.25">
      <c r="A37">
        <f ca="1"/>
        <v>36</v>
      </c>
      <c r="B37" s="3" t="str">
        <f ca="1"/>
        <v>R-20</v>
      </c>
      <c r="C37" s="3" t="str">
        <f ca="1"/>
        <v>R-20</v>
      </c>
      <c r="D37" s="3">
        <f ca="1"/>
        <v>1</v>
      </c>
      <c r="E37" s="3">
        <f ca="1"/>
        <v>18</v>
      </c>
      <c r="F37" s="3">
        <f ca="1"/>
        <v>694752.04851453996</v>
      </c>
      <c r="G37" s="3">
        <f ca="1"/>
        <v>7576884.1145584397</v>
      </c>
      <c r="H37" s="3" t="str">
        <f ca="1"/>
        <v>C</v>
      </c>
      <c r="I37" s="3" t="str">
        <f ca="1"/>
        <v>F</v>
      </c>
      <c r="J37" s="3" t="str">
        <f ca="1"/>
        <v>T</v>
      </c>
      <c r="K37" s="12">
        <f ca="1"/>
        <v>37.377588169323474</v>
      </c>
      <c r="L37" s="3">
        <f ca="1"/>
        <v>2.4E-2</v>
      </c>
      <c r="M37" s="3">
        <f ca="1"/>
        <v>315.327</v>
      </c>
      <c r="N37" s="3">
        <f ca="1"/>
        <v>315.01</v>
      </c>
      <c r="O37" s="3">
        <f ca="1"/>
        <v>0</v>
      </c>
      <c r="P37" s="3">
        <f ca="1"/>
        <v>0</v>
      </c>
      <c r="Q37" s="3" t="str">
        <f ca="1"/>
        <v xml:space="preserve"> </v>
      </c>
      <c r="R37" s="3" t="str">
        <f ca="1"/>
        <v xml:space="preserve"> </v>
      </c>
      <c r="S37" s="3">
        <f ca="1"/>
        <v>0</v>
      </c>
      <c r="T37" s="3">
        <f ca="1"/>
        <v>1.5</v>
      </c>
      <c r="U37" s="3">
        <f ca="1"/>
        <v>0</v>
      </c>
      <c r="V37" s="3">
        <f ca="1"/>
        <v>12</v>
      </c>
      <c r="W37" s="3">
        <f ca="1"/>
        <v>0</v>
      </c>
      <c r="X37" s="3">
        <f ca="1"/>
        <v>1</v>
      </c>
      <c r="Y37" s="3">
        <f ca="1"/>
        <v>0.5</v>
      </c>
      <c r="Z37" s="3">
        <f ca="1"/>
        <v>1</v>
      </c>
    </row>
    <row r="38" spans="1:26" x14ac:dyDescent="0.25">
      <c r="A38">
        <f ca="1"/>
        <v>37</v>
      </c>
      <c r="B38" s="3" t="str">
        <f ca="1"/>
        <v>R-21</v>
      </c>
      <c r="C38" s="3" t="str">
        <f ca="1"/>
        <v>R-21</v>
      </c>
      <c r="D38" s="3">
        <f ca="1"/>
        <v>0</v>
      </c>
      <c r="E38" s="3">
        <f ca="1"/>
        <v>19</v>
      </c>
      <c r="F38" s="3">
        <f ca="1"/>
        <v>695630.15128690202</v>
      </c>
      <c r="G38" s="3">
        <f ca="1"/>
        <v>7577795.3151182001</v>
      </c>
      <c r="H38" s="3" t="str">
        <f ca="1"/>
        <v>C</v>
      </c>
      <c r="I38" s="3" t="str">
        <f ca="1"/>
        <v>F</v>
      </c>
      <c r="J38" s="3" t="str">
        <f ca="1"/>
        <v>T</v>
      </c>
      <c r="K38" s="12">
        <f ca="1"/>
        <v>44.029780065927149</v>
      </c>
      <c r="L38" s="3">
        <f ca="1"/>
        <v>2.4E-2</v>
      </c>
      <c r="M38" s="3">
        <f ca="1"/>
        <v>316.81463623046801</v>
      </c>
      <c r="N38" s="3">
        <f ca="1"/>
        <v>316.600006103515</v>
      </c>
      <c r="O38" s="3">
        <f ca="1"/>
        <v>0</v>
      </c>
      <c r="P38" s="3">
        <f ca="1"/>
        <v>0</v>
      </c>
      <c r="Q38" s="3" t="str">
        <f ca="1"/>
        <v xml:space="preserve"> </v>
      </c>
      <c r="R38" s="3" t="str">
        <f ca="1"/>
        <v xml:space="preserve"> </v>
      </c>
      <c r="S38" s="3">
        <f ca="1"/>
        <v>0</v>
      </c>
      <c r="T38" s="3">
        <f ca="1"/>
        <v>1.5</v>
      </c>
      <c r="U38" s="3">
        <f ca="1"/>
        <v>0</v>
      </c>
      <c r="V38" s="3">
        <f ca="1"/>
        <v>4</v>
      </c>
      <c r="W38" s="3">
        <f ca="1"/>
        <v>0</v>
      </c>
      <c r="X38" s="3">
        <f ca="1"/>
        <v>1</v>
      </c>
      <c r="Y38" s="3">
        <f ca="1"/>
        <v>0.5</v>
      </c>
      <c r="Z38" s="3">
        <f ca="1"/>
        <v>1</v>
      </c>
    </row>
    <row r="39" spans="1:26" x14ac:dyDescent="0.25">
      <c r="A39">
        <f ca="1"/>
        <v>38</v>
      </c>
      <c r="B39" s="3" t="str">
        <f ca="1"/>
        <v>R-21</v>
      </c>
      <c r="C39" s="3" t="str">
        <f ca="1"/>
        <v>R-21</v>
      </c>
      <c r="D39" s="3">
        <f ca="1"/>
        <v>1</v>
      </c>
      <c r="E39" s="3">
        <f ca="1"/>
        <v>19</v>
      </c>
      <c r="F39" s="3">
        <f ca="1"/>
        <v>695655.97098285099</v>
      </c>
      <c r="G39" s="3">
        <f ca="1"/>
        <v>7577759.6505022096</v>
      </c>
      <c r="H39" s="3" t="str">
        <f ca="1"/>
        <v>C</v>
      </c>
      <c r="I39" s="3" t="str">
        <f ca="1"/>
        <v>F</v>
      </c>
      <c r="J39" s="3" t="str">
        <f ca="1"/>
        <v>T</v>
      </c>
      <c r="K39" s="12">
        <f ca="1"/>
        <v>44.029780065927149</v>
      </c>
      <c r="L39" s="3">
        <f ca="1"/>
        <v>2.4E-2</v>
      </c>
      <c r="M39" s="3">
        <f ca="1"/>
        <v>316.81463623046801</v>
      </c>
      <c r="N39" s="3">
        <f ca="1"/>
        <v>316.600006103515</v>
      </c>
      <c r="O39" s="3">
        <f ca="1"/>
        <v>0</v>
      </c>
      <c r="P39" s="3">
        <f ca="1"/>
        <v>0</v>
      </c>
      <c r="Q39" s="3" t="str">
        <f ca="1"/>
        <v xml:space="preserve"> </v>
      </c>
      <c r="R39" s="3" t="str">
        <f ca="1"/>
        <v xml:space="preserve"> </v>
      </c>
      <c r="S39" s="3">
        <f ca="1"/>
        <v>0</v>
      </c>
      <c r="T39" s="3">
        <f ca="1"/>
        <v>1.5</v>
      </c>
      <c r="U39" s="3">
        <f ca="1"/>
        <v>0</v>
      </c>
      <c r="V39" s="3">
        <f ca="1"/>
        <v>4</v>
      </c>
      <c r="W39" s="3">
        <f ca="1"/>
        <v>0</v>
      </c>
      <c r="X39" s="3">
        <f ca="1"/>
        <v>1</v>
      </c>
      <c r="Y39" s="3">
        <f ca="1"/>
        <v>0.5</v>
      </c>
      <c r="Z39" s="3">
        <f ca="1"/>
        <v>1</v>
      </c>
    </row>
    <row r="40" spans="1:26" x14ac:dyDescent="0.25">
      <c r="A40">
        <f ca="1"/>
        <v>39</v>
      </c>
      <c r="B40" s="3" t="str">
        <f ca="1"/>
        <v>R-22</v>
      </c>
      <c r="C40" s="3" t="str">
        <f ca="1"/>
        <v>R-22</v>
      </c>
      <c r="D40" s="3">
        <f ca="1"/>
        <v>0</v>
      </c>
      <c r="E40" s="3">
        <f ca="1"/>
        <v>20</v>
      </c>
      <c r="F40" s="3">
        <f ca="1"/>
        <v>696089.80277840304</v>
      </c>
      <c r="G40" s="3">
        <f ca="1"/>
        <v>7577931.2474392001</v>
      </c>
      <c r="H40" s="3" t="str">
        <f ca="1"/>
        <v>C</v>
      </c>
      <c r="I40" s="3" t="str">
        <f ca="1"/>
        <v>F</v>
      </c>
      <c r="J40" s="3" t="str">
        <f ca="1"/>
        <v>T</v>
      </c>
      <c r="K40" s="12">
        <f ca="1"/>
        <v>31.37630537705331</v>
      </c>
      <c r="L40" s="3">
        <f ca="1"/>
        <v>2.4E-2</v>
      </c>
      <c r="M40" s="3">
        <f ca="1"/>
        <v>322.864654541015</v>
      </c>
      <c r="N40" s="3">
        <f ca="1"/>
        <v>322.106842041015</v>
      </c>
      <c r="O40" s="3">
        <f ca="1"/>
        <v>0</v>
      </c>
      <c r="P40" s="3">
        <f ca="1"/>
        <v>0</v>
      </c>
      <c r="Q40" s="3" t="str">
        <f ca="1"/>
        <v xml:space="preserve"> </v>
      </c>
      <c r="R40" s="3" t="str">
        <f ca="1"/>
        <v xml:space="preserve"> </v>
      </c>
      <c r="S40" s="3">
        <f ca="1"/>
        <v>0</v>
      </c>
      <c r="T40" s="3">
        <f ca="1"/>
        <v>1.2</v>
      </c>
      <c r="U40" s="3">
        <f ca="1"/>
        <v>0</v>
      </c>
      <c r="V40" s="3">
        <f ca="1"/>
        <v>2</v>
      </c>
      <c r="W40" s="3">
        <f ca="1"/>
        <v>0</v>
      </c>
      <c r="X40" s="3">
        <f ca="1"/>
        <v>1</v>
      </c>
      <c r="Y40" s="3">
        <f ca="1"/>
        <v>0.5</v>
      </c>
      <c r="Z40" s="3">
        <f ca="1"/>
        <v>1</v>
      </c>
    </row>
    <row r="41" spans="1:26" x14ac:dyDescent="0.25">
      <c r="A41">
        <f ca="1"/>
        <v>40</v>
      </c>
      <c r="B41" s="3" t="str">
        <f ca="1"/>
        <v>R-22</v>
      </c>
      <c r="C41" s="3" t="str">
        <f ca="1"/>
        <v>R-22</v>
      </c>
      <c r="D41" s="3">
        <f ca="1"/>
        <v>1</v>
      </c>
      <c r="E41" s="3">
        <f ca="1"/>
        <v>20</v>
      </c>
      <c r="F41" s="3">
        <f ca="1"/>
        <v>696091.00499661604</v>
      </c>
      <c r="G41" s="3">
        <f ca="1"/>
        <v>7577899.8941744501</v>
      </c>
      <c r="H41" s="3" t="str">
        <f ca="1"/>
        <v>C</v>
      </c>
      <c r="I41" s="3" t="str">
        <f ca="1"/>
        <v>F</v>
      </c>
      <c r="J41" s="3" t="str">
        <f ca="1"/>
        <v>T</v>
      </c>
      <c r="K41" s="12">
        <f ca="1"/>
        <v>31.37630537705331</v>
      </c>
      <c r="L41" s="3">
        <f ca="1"/>
        <v>2.4E-2</v>
      </c>
      <c r="M41" s="3">
        <f ca="1"/>
        <v>322.864654541015</v>
      </c>
      <c r="N41" s="3">
        <f ca="1"/>
        <v>322.106842041015</v>
      </c>
      <c r="O41" s="3">
        <f ca="1"/>
        <v>0</v>
      </c>
      <c r="P41" s="3">
        <f ca="1"/>
        <v>0</v>
      </c>
      <c r="Q41" s="3" t="str">
        <f ca="1"/>
        <v xml:space="preserve"> </v>
      </c>
      <c r="R41" s="3" t="str">
        <f ca="1"/>
        <v xml:space="preserve"> </v>
      </c>
      <c r="S41" s="3">
        <f ca="1"/>
        <v>0</v>
      </c>
      <c r="T41" s="3">
        <f ca="1"/>
        <v>1.2</v>
      </c>
      <c r="U41" s="3">
        <f ca="1"/>
        <v>0</v>
      </c>
      <c r="V41" s="3">
        <f ca="1"/>
        <v>2</v>
      </c>
      <c r="W41" s="3">
        <f ca="1"/>
        <v>0</v>
      </c>
      <c r="X41" s="3">
        <f ca="1"/>
        <v>1</v>
      </c>
      <c r="Y41" s="3">
        <f ca="1"/>
        <v>0.5</v>
      </c>
      <c r="Z41" s="3">
        <f ca="1"/>
        <v>1</v>
      </c>
    </row>
    <row r="42" spans="1:26" x14ac:dyDescent="0.25">
      <c r="A42">
        <f ca="1"/>
        <v>41</v>
      </c>
      <c r="B42" s="3" t="str">
        <f ca="1"/>
        <v>R-3</v>
      </c>
      <c r="C42" s="3" t="str">
        <f ca="1"/>
        <v>R-3</v>
      </c>
      <c r="D42" s="3">
        <f ca="1"/>
        <v>0</v>
      </c>
      <c r="E42" s="3">
        <f ca="1"/>
        <v>21</v>
      </c>
      <c r="F42" s="3">
        <f ca="1"/>
        <v>687955.61175127095</v>
      </c>
      <c r="G42" s="3">
        <f ca="1"/>
        <v>7566504.6628676699</v>
      </c>
      <c r="H42" s="3" t="str">
        <f ca="1"/>
        <v>C</v>
      </c>
      <c r="I42" s="3" t="str">
        <f ca="1"/>
        <v>F</v>
      </c>
      <c r="J42" s="3" t="str">
        <f ca="1"/>
        <v>T</v>
      </c>
      <c r="K42" s="12">
        <f ca="1"/>
        <v>60.752659089694454</v>
      </c>
      <c r="L42" s="3">
        <f ca="1"/>
        <v>2.4E-2</v>
      </c>
      <c r="M42" s="3">
        <f ca="1"/>
        <v>375.83660888671801</v>
      </c>
      <c r="N42" s="3">
        <f ca="1"/>
        <v>379.22119140625</v>
      </c>
      <c r="O42" s="3">
        <f ca="1"/>
        <v>0</v>
      </c>
      <c r="P42" s="3">
        <f ca="1"/>
        <v>0</v>
      </c>
      <c r="Q42" s="3" t="str">
        <f ca="1"/>
        <v xml:space="preserve"> </v>
      </c>
      <c r="R42" s="3" t="str">
        <f ca="1"/>
        <v xml:space="preserve"> </v>
      </c>
      <c r="S42" s="3">
        <f ca="1"/>
        <v>0</v>
      </c>
      <c r="T42" s="3">
        <f ca="1"/>
        <v>1.5</v>
      </c>
      <c r="U42" s="3">
        <f ca="1"/>
        <v>0</v>
      </c>
      <c r="V42" s="3">
        <f ca="1"/>
        <v>2</v>
      </c>
      <c r="W42" s="3">
        <f ca="1"/>
        <v>0</v>
      </c>
      <c r="X42" s="3">
        <f ca="1"/>
        <v>1</v>
      </c>
      <c r="Y42" s="3">
        <f ca="1"/>
        <v>0.5</v>
      </c>
      <c r="Z42" s="3">
        <f ca="1"/>
        <v>1</v>
      </c>
    </row>
    <row r="43" spans="1:26" x14ac:dyDescent="0.25">
      <c r="A43">
        <f ca="1"/>
        <v>42</v>
      </c>
      <c r="B43" s="3" t="str">
        <f ca="1"/>
        <v>R-3</v>
      </c>
      <c r="C43" s="3" t="str">
        <f ca="1"/>
        <v>R-3</v>
      </c>
      <c r="D43" s="3">
        <f ca="1"/>
        <v>1</v>
      </c>
      <c r="E43" s="3">
        <f ca="1"/>
        <v>21</v>
      </c>
      <c r="F43" s="3">
        <f ca="1"/>
        <v>687971.95803359896</v>
      </c>
      <c r="G43" s="3">
        <f ca="1"/>
        <v>7566446.15060707</v>
      </c>
      <c r="H43" s="3" t="str">
        <f ca="1"/>
        <v>C</v>
      </c>
      <c r="I43" s="3" t="str">
        <f ca="1"/>
        <v>F</v>
      </c>
      <c r="J43" s="3" t="str">
        <f ca="1"/>
        <v>T</v>
      </c>
      <c r="K43" s="12">
        <f ca="1"/>
        <v>60.752659089694454</v>
      </c>
      <c r="L43" s="3">
        <f ca="1"/>
        <v>2.4E-2</v>
      </c>
      <c r="M43" s="3">
        <f ca="1"/>
        <v>375.83660888671801</v>
      </c>
      <c r="N43" s="3">
        <f ca="1"/>
        <v>379.22119140625</v>
      </c>
      <c r="O43" s="3">
        <f ca="1"/>
        <v>0</v>
      </c>
      <c r="P43" s="3">
        <f ca="1"/>
        <v>0</v>
      </c>
      <c r="Q43" s="3" t="str">
        <f ca="1"/>
        <v xml:space="preserve"> </v>
      </c>
      <c r="R43" s="3" t="str">
        <f ca="1"/>
        <v xml:space="preserve"> </v>
      </c>
      <c r="S43" s="3">
        <f ca="1"/>
        <v>0</v>
      </c>
      <c r="T43" s="3">
        <f ca="1"/>
        <v>1.5</v>
      </c>
      <c r="U43" s="3">
        <f ca="1"/>
        <v>0</v>
      </c>
      <c r="V43" s="3">
        <f ca="1"/>
        <v>2</v>
      </c>
      <c r="W43" s="3">
        <f ca="1"/>
        <v>0</v>
      </c>
      <c r="X43" s="3">
        <f ca="1"/>
        <v>1</v>
      </c>
      <c r="Y43" s="3">
        <f ca="1"/>
        <v>0.5</v>
      </c>
      <c r="Z43" s="3">
        <f ca="1"/>
        <v>1</v>
      </c>
    </row>
    <row r="44" spans="1:26" x14ac:dyDescent="0.25">
      <c r="A44">
        <f ca="1"/>
        <v>43</v>
      </c>
      <c r="B44" s="3" t="str">
        <f ca="1"/>
        <v>R-4</v>
      </c>
      <c r="C44" s="3" t="str">
        <f ca="1"/>
        <v>R-4</v>
      </c>
      <c r="D44" s="3">
        <f ca="1"/>
        <v>0</v>
      </c>
      <c r="E44" s="3">
        <f ca="1"/>
        <v>22</v>
      </c>
      <c r="F44" s="3">
        <f ca="1"/>
        <v>688881.62753189995</v>
      </c>
      <c r="G44" s="3">
        <f ca="1"/>
        <v>7566950.3274895996</v>
      </c>
      <c r="H44" s="3" t="str">
        <f ca="1"/>
        <v>C</v>
      </c>
      <c r="I44" s="3" t="str">
        <f ca="1"/>
        <v>F</v>
      </c>
      <c r="J44" s="3" t="str">
        <f ca="1"/>
        <v>T</v>
      </c>
      <c r="K44" s="12">
        <f ca="1"/>
        <v>68.939518634668033</v>
      </c>
      <c r="L44" s="3">
        <f ca="1"/>
        <v>2.4E-2</v>
      </c>
      <c r="M44" s="3">
        <f ca="1"/>
        <v>364.83699999999999</v>
      </c>
      <c r="N44" s="3">
        <f ca="1"/>
        <v>364.75</v>
      </c>
      <c r="O44" s="3">
        <f ca="1"/>
        <v>0</v>
      </c>
      <c r="P44" s="3">
        <f ca="1"/>
        <v>0</v>
      </c>
      <c r="Q44" s="3" t="str">
        <f ca="1"/>
        <v xml:space="preserve"> </v>
      </c>
      <c r="R44" s="3" t="str">
        <f ca="1"/>
        <v xml:space="preserve"> </v>
      </c>
      <c r="S44" s="3">
        <f ca="1"/>
        <v>0</v>
      </c>
      <c r="T44" s="3">
        <f ca="1"/>
        <v>1.5</v>
      </c>
      <c r="U44" s="3">
        <f ca="1"/>
        <v>0</v>
      </c>
      <c r="V44" s="3">
        <f ca="1"/>
        <v>1</v>
      </c>
      <c r="W44" s="3">
        <f ca="1"/>
        <v>0</v>
      </c>
      <c r="X44" s="3">
        <f ca="1"/>
        <v>1</v>
      </c>
      <c r="Y44" s="3">
        <f ca="1"/>
        <v>0.5</v>
      </c>
      <c r="Z44" s="3">
        <f ca="1"/>
        <v>1</v>
      </c>
    </row>
    <row r="45" spans="1:26" x14ac:dyDescent="0.25">
      <c r="A45">
        <f ca="1"/>
        <v>44</v>
      </c>
      <c r="B45" s="3" t="str">
        <f ca="1"/>
        <v>R-4</v>
      </c>
      <c r="C45" s="3" t="str">
        <f ca="1"/>
        <v>R-4</v>
      </c>
      <c r="D45" s="3">
        <f ca="1"/>
        <v>1</v>
      </c>
      <c r="E45" s="3">
        <f ca="1"/>
        <v>22</v>
      </c>
      <c r="F45" s="3">
        <f ca="1"/>
        <v>688863.53434349701</v>
      </c>
      <c r="G45" s="3">
        <f ca="1"/>
        <v>7566883.8046081001</v>
      </c>
      <c r="H45" s="3" t="str">
        <f ca="1"/>
        <v>C</v>
      </c>
      <c r="I45" s="3" t="str">
        <f ca="1"/>
        <v>F</v>
      </c>
      <c r="J45" s="3" t="str">
        <f ca="1"/>
        <v>T</v>
      </c>
      <c r="K45" s="12">
        <f ca="1"/>
        <v>68.939518634668033</v>
      </c>
      <c r="L45" s="3">
        <f ca="1"/>
        <v>2.4E-2</v>
      </c>
      <c r="M45" s="3">
        <f ca="1"/>
        <v>364.83699999999999</v>
      </c>
      <c r="N45" s="3">
        <f ca="1"/>
        <v>364.75</v>
      </c>
      <c r="O45" s="3">
        <f ca="1"/>
        <v>0</v>
      </c>
      <c r="P45" s="3">
        <f ca="1"/>
        <v>0</v>
      </c>
      <c r="Q45" s="3" t="str">
        <f ca="1"/>
        <v xml:space="preserve"> </v>
      </c>
      <c r="R45" s="3" t="str">
        <f ca="1"/>
        <v xml:space="preserve"> </v>
      </c>
      <c r="S45" s="3">
        <f ca="1"/>
        <v>0</v>
      </c>
      <c r="T45" s="3">
        <f ca="1"/>
        <v>1.5</v>
      </c>
      <c r="U45" s="3">
        <f ca="1"/>
        <v>0</v>
      </c>
      <c r="V45" s="3">
        <f ca="1"/>
        <v>1</v>
      </c>
      <c r="W45" s="3">
        <f ca="1"/>
        <v>0</v>
      </c>
      <c r="X45" s="3">
        <f ca="1"/>
        <v>1</v>
      </c>
      <c r="Y45" s="3">
        <f ca="1"/>
        <v>0.5</v>
      </c>
      <c r="Z45" s="3">
        <f ca="1"/>
        <v>1</v>
      </c>
    </row>
    <row r="46" spans="1:26" x14ac:dyDescent="0.25">
      <c r="A46">
        <f ca="1"/>
        <v>45</v>
      </c>
      <c r="B46" s="3" t="str">
        <f ca="1"/>
        <v>R-5</v>
      </c>
      <c r="C46" s="3" t="str">
        <f ca="1"/>
        <v>R-5</v>
      </c>
      <c r="D46" s="3">
        <f ca="1"/>
        <v>0</v>
      </c>
      <c r="E46" s="3">
        <f ca="1"/>
        <v>23</v>
      </c>
      <c r="F46" s="3">
        <f ca="1"/>
        <v>689051.27705024497</v>
      </c>
      <c r="G46" s="3">
        <f ca="1"/>
        <v>7567000.7168103503</v>
      </c>
      <c r="H46" s="3" t="str">
        <f ca="1"/>
        <v>C</v>
      </c>
      <c r="I46" s="3" t="str">
        <f ca="1"/>
        <v>F</v>
      </c>
      <c r="J46" s="3" t="str">
        <f ca="1"/>
        <v>T</v>
      </c>
      <c r="K46" s="12">
        <f ca="1"/>
        <v>40.977953461341762</v>
      </c>
      <c r="L46" s="3">
        <f ca="1"/>
        <v>2.4E-2</v>
      </c>
      <c r="M46" s="3">
        <f ca="1"/>
        <v>363.65560913085898</v>
      </c>
      <c r="N46" s="3">
        <f ca="1"/>
        <v>363.08898925781199</v>
      </c>
      <c r="O46" s="3">
        <f ca="1"/>
        <v>0</v>
      </c>
      <c r="P46" s="3">
        <f ca="1"/>
        <v>0</v>
      </c>
      <c r="Q46" s="3" t="str">
        <f ca="1"/>
        <v xml:space="preserve"> </v>
      </c>
      <c r="R46" s="3" t="str">
        <f ca="1"/>
        <v xml:space="preserve"> </v>
      </c>
      <c r="S46" s="3">
        <f ca="1"/>
        <v>0</v>
      </c>
      <c r="T46" s="3">
        <f ca="1"/>
        <v>1.5</v>
      </c>
      <c r="U46" s="3">
        <f ca="1"/>
        <v>0</v>
      </c>
      <c r="V46" s="3">
        <f ca="1"/>
        <v>1</v>
      </c>
      <c r="W46" s="3">
        <f ca="1"/>
        <v>0</v>
      </c>
      <c r="X46" s="3">
        <f ca="1"/>
        <v>1</v>
      </c>
      <c r="Y46" s="3">
        <f ca="1"/>
        <v>0.5</v>
      </c>
      <c r="Z46" s="3">
        <f ca="1"/>
        <v>1</v>
      </c>
    </row>
    <row r="47" spans="1:26" x14ac:dyDescent="0.25">
      <c r="A47">
        <f ca="1"/>
        <v>46</v>
      </c>
      <c r="B47" s="3" t="str">
        <f ca="1"/>
        <v>R-5</v>
      </c>
      <c r="C47" s="3" t="str">
        <f ca="1"/>
        <v>R-5</v>
      </c>
      <c r="D47" s="3">
        <f ca="1"/>
        <v>1</v>
      </c>
      <c r="E47" s="3">
        <f ca="1"/>
        <v>23</v>
      </c>
      <c r="F47" s="3">
        <f ca="1"/>
        <v>689064.92991105304</v>
      </c>
      <c r="G47" s="3">
        <f ca="1"/>
        <v>7566962.0801430298</v>
      </c>
      <c r="H47" s="3" t="str">
        <f ca="1"/>
        <v>C</v>
      </c>
      <c r="I47" s="3" t="str">
        <f ca="1"/>
        <v>F</v>
      </c>
      <c r="J47" s="3" t="str">
        <f ca="1"/>
        <v>T</v>
      </c>
      <c r="K47" s="12">
        <f ca="1"/>
        <v>40.977953461341762</v>
      </c>
      <c r="L47" s="3">
        <f ca="1"/>
        <v>2.4E-2</v>
      </c>
      <c r="M47" s="3">
        <f ca="1"/>
        <v>363.65560913085898</v>
      </c>
      <c r="N47" s="3">
        <f ca="1"/>
        <v>363.08898925781199</v>
      </c>
      <c r="O47" s="3">
        <f ca="1"/>
        <v>0</v>
      </c>
      <c r="P47" s="3">
        <f ca="1"/>
        <v>0</v>
      </c>
      <c r="Q47" s="3" t="str">
        <f ca="1"/>
        <v xml:space="preserve"> </v>
      </c>
      <c r="R47" s="3" t="str">
        <f ca="1"/>
        <v xml:space="preserve"> </v>
      </c>
      <c r="S47" s="3">
        <f ca="1"/>
        <v>0</v>
      </c>
      <c r="T47" s="3">
        <f ca="1"/>
        <v>1.5</v>
      </c>
      <c r="U47" s="3">
        <f ca="1"/>
        <v>0</v>
      </c>
      <c r="V47" s="3">
        <f ca="1"/>
        <v>1</v>
      </c>
      <c r="W47" s="3">
        <f ca="1"/>
        <v>0</v>
      </c>
      <c r="X47" s="3">
        <f ca="1"/>
        <v>1</v>
      </c>
      <c r="Y47" s="3">
        <f ca="1"/>
        <v>0.5</v>
      </c>
      <c r="Z47" s="3">
        <f ca="1"/>
        <v>1</v>
      </c>
    </row>
    <row r="48" spans="1:26" x14ac:dyDescent="0.25">
      <c r="A48">
        <f ca="1"/>
        <v>47</v>
      </c>
      <c r="B48" s="3" t="str">
        <f ca="1"/>
        <v>R-6</v>
      </c>
      <c r="C48" s="3" t="str">
        <f ca="1"/>
        <v>R-6</v>
      </c>
      <c r="D48" s="3">
        <f ca="1"/>
        <v>0</v>
      </c>
      <c r="E48" s="3">
        <f ca="1"/>
        <v>24</v>
      </c>
      <c r="F48" s="3">
        <f ca="1"/>
        <v>689840.85410076904</v>
      </c>
      <c r="G48" s="3">
        <f ca="1"/>
        <v>7567442.5229167296</v>
      </c>
      <c r="H48" s="3" t="str">
        <f ca="1"/>
        <v>C</v>
      </c>
      <c r="I48" s="3" t="str">
        <f ca="1"/>
        <v>F</v>
      </c>
      <c r="J48" s="3" t="str">
        <f ca="1"/>
        <v>T</v>
      </c>
      <c r="K48" s="12">
        <f ca="1"/>
        <v>40.8509030035734</v>
      </c>
      <c r="L48" s="3">
        <f ca="1"/>
        <v>2.4E-2</v>
      </c>
      <c r="M48" s="3">
        <f ca="1"/>
        <v>353.18801879882801</v>
      </c>
      <c r="N48" s="3">
        <f ca="1"/>
        <v>352.41442871093699</v>
      </c>
      <c r="O48" s="3">
        <f ca="1"/>
        <v>0</v>
      </c>
      <c r="P48" s="3">
        <f ca="1"/>
        <v>0</v>
      </c>
      <c r="Q48" s="3" t="str">
        <f ca="1"/>
        <v xml:space="preserve"> </v>
      </c>
      <c r="R48" s="3" t="str">
        <f ca="1"/>
        <v xml:space="preserve"> </v>
      </c>
      <c r="S48" s="3">
        <f ca="1"/>
        <v>0</v>
      </c>
      <c r="T48" s="3">
        <f ca="1"/>
        <v>1.5</v>
      </c>
      <c r="U48" s="3">
        <f ca="1"/>
        <v>0</v>
      </c>
      <c r="V48" s="3">
        <f ca="1"/>
        <v>14</v>
      </c>
      <c r="W48" s="3">
        <f ca="1"/>
        <v>0</v>
      </c>
      <c r="X48" s="3">
        <f ca="1"/>
        <v>1</v>
      </c>
      <c r="Y48" s="3">
        <f ca="1"/>
        <v>0.5</v>
      </c>
      <c r="Z48" s="3">
        <f ca="1"/>
        <v>1</v>
      </c>
    </row>
    <row r="49" spans="1:26" x14ac:dyDescent="0.25">
      <c r="A49">
        <f ca="1"/>
        <v>48</v>
      </c>
      <c r="B49" s="3" t="str">
        <f ca="1"/>
        <v>R-6</v>
      </c>
      <c r="C49" s="3" t="str">
        <f ca="1"/>
        <v>R-6</v>
      </c>
      <c r="D49" s="3">
        <f ca="1"/>
        <v>1</v>
      </c>
      <c r="E49" s="3">
        <f ca="1"/>
        <v>24</v>
      </c>
      <c r="F49" s="3">
        <f ca="1"/>
        <v>689871.65609456401</v>
      </c>
      <c r="G49" s="3">
        <f ca="1"/>
        <v>7567415.6894776197</v>
      </c>
      <c r="H49" s="3" t="str">
        <f ca="1"/>
        <v>C</v>
      </c>
      <c r="I49" s="3" t="str">
        <f ca="1"/>
        <v>F</v>
      </c>
      <c r="J49" s="3" t="str">
        <f ca="1"/>
        <v>T</v>
      </c>
      <c r="K49" s="12">
        <f ca="1"/>
        <v>40.8509030035734</v>
      </c>
      <c r="L49" s="3">
        <f ca="1"/>
        <v>2.4E-2</v>
      </c>
      <c r="M49" s="3">
        <f ca="1"/>
        <v>353.18801879882801</v>
      </c>
      <c r="N49" s="3">
        <f ca="1"/>
        <v>352.41442871093699</v>
      </c>
      <c r="O49" s="3">
        <f ca="1"/>
        <v>0</v>
      </c>
      <c r="P49" s="3">
        <f ca="1"/>
        <v>0</v>
      </c>
      <c r="Q49" s="3" t="str">
        <f ca="1"/>
        <v xml:space="preserve"> </v>
      </c>
      <c r="R49" s="3" t="str">
        <f ca="1"/>
        <v xml:space="preserve"> </v>
      </c>
      <c r="S49" s="3">
        <f ca="1"/>
        <v>0</v>
      </c>
      <c r="T49" s="3">
        <f ca="1"/>
        <v>1.5</v>
      </c>
      <c r="U49" s="3">
        <f ca="1"/>
        <v>0</v>
      </c>
      <c r="V49" s="3">
        <f ca="1"/>
        <v>14</v>
      </c>
      <c r="W49" s="3">
        <f ca="1"/>
        <v>0</v>
      </c>
      <c r="X49" s="3">
        <f ca="1"/>
        <v>1</v>
      </c>
      <c r="Y49" s="3">
        <f ca="1"/>
        <v>0.5</v>
      </c>
      <c r="Z49" s="3">
        <f ca="1"/>
        <v>1</v>
      </c>
    </row>
    <row r="50" spans="1:26" x14ac:dyDescent="0.25">
      <c r="A50">
        <f ca="1"/>
        <v>49</v>
      </c>
      <c r="B50" s="3" t="str">
        <f ca="1"/>
        <v>R-6b</v>
      </c>
      <c r="C50" s="3" t="str">
        <f ca="1"/>
        <v>R-6b</v>
      </c>
      <c r="D50" s="3">
        <f ca="1"/>
        <v>0</v>
      </c>
      <c r="E50" s="3">
        <f ca="1"/>
        <v>25</v>
      </c>
      <c r="F50" s="3">
        <f ca="1"/>
        <v>689634.17061779206</v>
      </c>
      <c r="G50" s="3">
        <f ca="1"/>
        <v>7567222.6918942304</v>
      </c>
      <c r="H50" s="3" t="str">
        <f ca="1"/>
        <v>C</v>
      </c>
      <c r="I50" s="3" t="str">
        <f ca="1"/>
        <v>F</v>
      </c>
      <c r="J50" s="3" t="str">
        <f ca="1"/>
        <v>T</v>
      </c>
      <c r="K50" s="12">
        <f ca="1"/>
        <v>54.727100603330804</v>
      </c>
      <c r="L50" s="3">
        <f ca="1"/>
        <v>2.4E-2</v>
      </c>
      <c r="M50" s="3">
        <f ca="1"/>
        <v>356.22253417968699</v>
      </c>
      <c r="N50" s="3">
        <f ca="1"/>
        <v>355.70806884765602</v>
      </c>
      <c r="O50" s="3">
        <f ca="1"/>
        <v>0</v>
      </c>
      <c r="P50" s="3">
        <f ca="1"/>
        <v>0</v>
      </c>
      <c r="Q50" s="3" t="str">
        <f ca="1"/>
        <v xml:space="preserve"> </v>
      </c>
      <c r="R50" s="3" t="str">
        <f ca="1"/>
        <v xml:space="preserve"> </v>
      </c>
      <c r="S50" s="3">
        <f ca="1"/>
        <v>0</v>
      </c>
      <c r="T50" s="3">
        <f ca="1"/>
        <v>1.5</v>
      </c>
      <c r="U50" s="3">
        <f ca="1"/>
        <v>0</v>
      </c>
      <c r="V50" s="3">
        <f ca="1"/>
        <v>1</v>
      </c>
      <c r="W50" s="3">
        <f ca="1"/>
        <v>0</v>
      </c>
      <c r="X50" s="3">
        <f ca="1"/>
        <v>1</v>
      </c>
      <c r="Y50" s="3">
        <f ca="1"/>
        <v>0.5</v>
      </c>
      <c r="Z50" s="3">
        <f ca="1"/>
        <v>1</v>
      </c>
    </row>
    <row r="51" spans="1:26" x14ac:dyDescent="0.25">
      <c r="A51">
        <f ca="1"/>
        <v>50</v>
      </c>
      <c r="B51" s="3" t="str">
        <f ca="1"/>
        <v>R-6b</v>
      </c>
      <c r="C51" s="3" t="str">
        <f ca="1"/>
        <v>R-6b</v>
      </c>
      <c r="D51" s="3">
        <f ca="1"/>
        <v>1</v>
      </c>
      <c r="E51" s="3">
        <f ca="1"/>
        <v>25</v>
      </c>
      <c r="F51" s="3">
        <f ca="1"/>
        <v>689632.59171552199</v>
      </c>
      <c r="G51" s="3">
        <f ca="1"/>
        <v>7567167.9875744004</v>
      </c>
      <c r="H51" s="3" t="str">
        <f ca="1"/>
        <v>C</v>
      </c>
      <c r="I51" s="3" t="str">
        <f ca="1"/>
        <v>F</v>
      </c>
      <c r="J51" s="3" t="str">
        <f ca="1"/>
        <v>T</v>
      </c>
      <c r="K51" s="12">
        <f ca="1"/>
        <v>54.727100603330804</v>
      </c>
      <c r="L51" s="3">
        <f ca="1"/>
        <v>2.4E-2</v>
      </c>
      <c r="M51" s="3">
        <f ca="1"/>
        <v>356.22253417968699</v>
      </c>
      <c r="N51" s="3">
        <f ca="1"/>
        <v>355.70806884765602</v>
      </c>
      <c r="O51" s="3">
        <f ca="1"/>
        <v>0</v>
      </c>
      <c r="P51" s="3">
        <f ca="1"/>
        <v>0</v>
      </c>
      <c r="Q51" s="3" t="str">
        <f ca="1"/>
        <v xml:space="preserve"> </v>
      </c>
      <c r="R51" s="3" t="str">
        <f ca="1"/>
        <v xml:space="preserve"> </v>
      </c>
      <c r="S51" s="3">
        <f ca="1"/>
        <v>0</v>
      </c>
      <c r="T51" s="3">
        <f ca="1"/>
        <v>1.5</v>
      </c>
      <c r="U51" s="3">
        <f ca="1"/>
        <v>0</v>
      </c>
      <c r="V51" s="3">
        <f ca="1"/>
        <v>1</v>
      </c>
      <c r="W51" s="3">
        <f ca="1"/>
        <v>0</v>
      </c>
      <c r="X51" s="3">
        <f ca="1"/>
        <v>1</v>
      </c>
      <c r="Y51" s="3">
        <f ca="1"/>
        <v>0.5</v>
      </c>
      <c r="Z51" s="3">
        <f ca="1"/>
        <v>1</v>
      </c>
    </row>
    <row r="52" spans="1:26" x14ac:dyDescent="0.25">
      <c r="A52">
        <f ca="1"/>
        <v>51</v>
      </c>
      <c r="B52" s="3" t="str">
        <f ca="1"/>
        <v>R-7</v>
      </c>
      <c r="C52" s="3" t="str">
        <f ca="1"/>
        <v>R-7</v>
      </c>
      <c r="D52" s="3">
        <f ca="1"/>
        <v>0</v>
      </c>
      <c r="E52" s="3">
        <f ca="1"/>
        <v>26</v>
      </c>
      <c r="F52" s="3">
        <f ca="1"/>
        <v>690743.11727115698</v>
      </c>
      <c r="G52" s="3">
        <f ca="1"/>
        <v>7568514.69833434</v>
      </c>
      <c r="H52" s="3" t="str">
        <f ca="1"/>
        <v>C</v>
      </c>
      <c r="I52" s="3" t="str">
        <f ca="1"/>
        <v>F</v>
      </c>
      <c r="J52" s="3" t="str">
        <f ca="1"/>
        <v>T</v>
      </c>
      <c r="K52" s="12">
        <f ca="1"/>
        <v>31.069132921185343</v>
      </c>
      <c r="L52" s="3">
        <f ca="1"/>
        <v>2.4E-2</v>
      </c>
      <c r="M52" s="3">
        <f ca="1"/>
        <v>352.16900634765602</v>
      </c>
      <c r="N52" s="3">
        <f ca="1"/>
        <v>351.81900024414</v>
      </c>
      <c r="O52" s="3">
        <f ca="1"/>
        <v>0</v>
      </c>
      <c r="P52" s="3">
        <f ca="1"/>
        <v>0</v>
      </c>
      <c r="Q52" s="3" t="str">
        <f ca="1"/>
        <v xml:space="preserve"> </v>
      </c>
      <c r="R52" s="3" t="str">
        <f ca="1"/>
        <v xml:space="preserve"> </v>
      </c>
      <c r="S52" s="3">
        <f ca="1"/>
        <v>0</v>
      </c>
      <c r="T52" s="3">
        <f ca="1"/>
        <v>1.2</v>
      </c>
      <c r="U52" s="3">
        <f ca="1"/>
        <v>0</v>
      </c>
      <c r="V52" s="3">
        <f ca="1"/>
        <v>2</v>
      </c>
      <c r="W52" s="3">
        <f ca="1"/>
        <v>0</v>
      </c>
      <c r="X52" s="3">
        <f ca="1"/>
        <v>1</v>
      </c>
      <c r="Y52" s="3">
        <f ca="1"/>
        <v>0.5</v>
      </c>
      <c r="Z52" s="3">
        <f ca="1"/>
        <v>1</v>
      </c>
    </row>
    <row r="53" spans="1:26" x14ac:dyDescent="0.25">
      <c r="A53">
        <f ca="1"/>
        <v>52</v>
      </c>
      <c r="B53" s="3" t="str">
        <f ca="1"/>
        <v>R-7</v>
      </c>
      <c r="C53" s="3" t="str">
        <f ca="1"/>
        <v>R-7</v>
      </c>
      <c r="D53" s="3">
        <f ca="1"/>
        <v>1</v>
      </c>
      <c r="E53" s="3">
        <f ca="1"/>
        <v>26</v>
      </c>
      <c r="F53" s="3">
        <f ca="1"/>
        <v>690763.55012406595</v>
      </c>
      <c r="G53" s="3">
        <f ca="1"/>
        <v>7568491.2934301002</v>
      </c>
      <c r="H53" s="3" t="str">
        <f ca="1"/>
        <v>C</v>
      </c>
      <c r="I53" s="3" t="str">
        <f ca="1"/>
        <v>F</v>
      </c>
      <c r="J53" s="3" t="str">
        <f ca="1"/>
        <v>T</v>
      </c>
      <c r="K53" s="12">
        <f ca="1"/>
        <v>31.069132921185343</v>
      </c>
      <c r="L53" s="3">
        <f ca="1"/>
        <v>2.4E-2</v>
      </c>
      <c r="M53" s="3">
        <f ca="1"/>
        <v>352.16900634765602</v>
      </c>
      <c r="N53" s="3">
        <f ca="1"/>
        <v>351.81900024414</v>
      </c>
      <c r="O53" s="3">
        <f ca="1"/>
        <v>0</v>
      </c>
      <c r="P53" s="3">
        <f ca="1"/>
        <v>0</v>
      </c>
      <c r="Q53" s="3" t="str">
        <f ca="1"/>
        <v xml:space="preserve"> </v>
      </c>
      <c r="R53" s="3" t="str">
        <f ca="1"/>
        <v xml:space="preserve"> </v>
      </c>
      <c r="S53" s="3">
        <f ca="1"/>
        <v>0</v>
      </c>
      <c r="T53" s="3">
        <f ca="1"/>
        <v>1.2</v>
      </c>
      <c r="U53" s="3">
        <f ca="1"/>
        <v>0</v>
      </c>
      <c r="V53" s="3">
        <f ca="1"/>
        <v>2</v>
      </c>
      <c r="W53" s="3">
        <f ca="1"/>
        <v>0</v>
      </c>
      <c r="X53" s="3">
        <f ca="1"/>
        <v>1</v>
      </c>
      <c r="Y53" s="3">
        <f ca="1"/>
        <v>0.5</v>
      </c>
      <c r="Z53" s="3">
        <f ca="1"/>
        <v>1</v>
      </c>
    </row>
    <row r="54" spans="1:26" x14ac:dyDescent="0.25">
      <c r="A54">
        <f ca="1"/>
        <v>53</v>
      </c>
      <c r="B54" s="3" t="str">
        <f ca="1"/>
        <v>R-7b</v>
      </c>
      <c r="C54" s="3" t="str">
        <f ca="1"/>
        <v>R-7b</v>
      </c>
      <c r="D54" s="3">
        <f ca="1"/>
        <v>0</v>
      </c>
      <c r="E54" s="3">
        <f ca="1"/>
        <v>27</v>
      </c>
      <c r="F54" s="3">
        <f ca="1"/>
        <v>690538.88161866495</v>
      </c>
      <c r="G54" s="3">
        <f ca="1"/>
        <v>7568271.91889113</v>
      </c>
      <c r="H54" s="3" t="str">
        <f ca="1"/>
        <v>C</v>
      </c>
      <c r="I54" s="3" t="str">
        <f ca="1"/>
        <v>F</v>
      </c>
      <c r="J54" s="3" t="str">
        <f ca="1"/>
        <v>T</v>
      </c>
      <c r="K54" s="12">
        <f ca="1"/>
        <v>34.463352945343992</v>
      </c>
      <c r="L54" s="3">
        <f ca="1"/>
        <v>2.4E-2</v>
      </c>
      <c r="M54" s="3">
        <f ca="1"/>
        <v>352.68200683593699</v>
      </c>
      <c r="N54" s="3">
        <f ca="1"/>
        <v>352.15353393554602</v>
      </c>
      <c r="O54" s="3">
        <f ca="1"/>
        <v>0</v>
      </c>
      <c r="P54" s="3">
        <f ca="1"/>
        <v>0</v>
      </c>
      <c r="Q54" s="3" t="str">
        <f ca="1"/>
        <v xml:space="preserve"> </v>
      </c>
      <c r="R54" s="3" t="str">
        <f ca="1"/>
        <v xml:space="preserve"> </v>
      </c>
      <c r="S54" s="3">
        <f ca="1"/>
        <v>0</v>
      </c>
      <c r="T54" s="3">
        <f ca="1"/>
        <v>1.2</v>
      </c>
      <c r="U54" s="3">
        <f ca="1"/>
        <v>0</v>
      </c>
      <c r="V54" s="3">
        <f ca="1"/>
        <v>2</v>
      </c>
      <c r="W54" s="3">
        <f ca="1"/>
        <v>0</v>
      </c>
      <c r="X54" s="3">
        <f ca="1"/>
        <v>1</v>
      </c>
      <c r="Y54" s="3">
        <f ca="1"/>
        <v>0.5</v>
      </c>
      <c r="Z54" s="3">
        <f ca="1"/>
        <v>1</v>
      </c>
    </row>
    <row r="55" spans="1:26" x14ac:dyDescent="0.25">
      <c r="A55">
        <f ca="1"/>
        <v>54</v>
      </c>
      <c r="B55" s="3" t="str">
        <f ca="1"/>
        <v>R-7b</v>
      </c>
      <c r="C55" s="3" t="str">
        <f ca="1"/>
        <v>R-7b</v>
      </c>
      <c r="D55" s="3">
        <f ca="1"/>
        <v>1</v>
      </c>
      <c r="E55" s="3">
        <f ca="1"/>
        <v>27</v>
      </c>
      <c r="F55" s="3">
        <f ca="1"/>
        <v>690559.03584176197</v>
      </c>
      <c r="G55" s="3">
        <f ca="1"/>
        <v>7568243.9630332896</v>
      </c>
      <c r="H55" s="3" t="str">
        <f ca="1"/>
        <v>C</v>
      </c>
      <c r="I55" s="3" t="str">
        <f ca="1"/>
        <v>F</v>
      </c>
      <c r="J55" s="3" t="str">
        <f ca="1"/>
        <v>T</v>
      </c>
      <c r="K55" s="12">
        <f ca="1"/>
        <v>34.463352945343992</v>
      </c>
      <c r="L55" s="3">
        <f ca="1"/>
        <v>2.4E-2</v>
      </c>
      <c r="M55" s="3">
        <f ca="1"/>
        <v>352.68200683593699</v>
      </c>
      <c r="N55" s="3">
        <f ca="1"/>
        <v>352.15353393554602</v>
      </c>
      <c r="O55" s="3">
        <f ca="1"/>
        <v>0</v>
      </c>
      <c r="P55" s="3">
        <f ca="1"/>
        <v>0</v>
      </c>
      <c r="Q55" s="3" t="str">
        <f ca="1"/>
        <v xml:space="preserve"> </v>
      </c>
      <c r="R55" s="3" t="str">
        <f ca="1"/>
        <v xml:space="preserve"> </v>
      </c>
      <c r="S55" s="3">
        <f ca="1"/>
        <v>0</v>
      </c>
      <c r="T55" s="3">
        <f ca="1"/>
        <v>1.2</v>
      </c>
      <c r="U55" s="3">
        <f ca="1"/>
        <v>0</v>
      </c>
      <c r="V55" s="3">
        <f ca="1"/>
        <v>2</v>
      </c>
      <c r="W55" s="3">
        <f ca="1"/>
        <v>0</v>
      </c>
      <c r="X55" s="3">
        <f ca="1"/>
        <v>1</v>
      </c>
      <c r="Y55" s="3">
        <f ca="1"/>
        <v>0.5</v>
      </c>
      <c r="Z55" s="3">
        <f ca="1"/>
        <v>1</v>
      </c>
    </row>
    <row r="56" spans="1:26" x14ac:dyDescent="0.25">
      <c r="A56">
        <f ca="1"/>
        <v>55</v>
      </c>
      <c r="B56" s="3" t="str">
        <f ca="1"/>
        <v>R-7c</v>
      </c>
      <c r="C56" s="3" t="str">
        <f ca="1"/>
        <v>R-7c</v>
      </c>
      <c r="D56" s="3">
        <f ca="1"/>
        <v>0</v>
      </c>
      <c r="E56" s="3">
        <f ca="1"/>
        <v>28</v>
      </c>
      <c r="F56" s="3">
        <f ca="1"/>
        <v>690261.17007480003</v>
      </c>
      <c r="G56" s="3">
        <f ca="1"/>
        <v>7567943.9294922501</v>
      </c>
      <c r="H56" s="3" t="str">
        <f ca="1"/>
        <v>C</v>
      </c>
      <c r="I56" s="3" t="str">
        <f ca="1"/>
        <v>F</v>
      </c>
      <c r="J56" s="3" t="str">
        <f ca="1"/>
        <v>T</v>
      </c>
      <c r="K56" s="12">
        <f ca="1"/>
        <v>48.158669158089893</v>
      </c>
      <c r="L56" s="3">
        <f ca="1"/>
        <v>2.4E-2</v>
      </c>
      <c r="M56" s="3">
        <f ca="1"/>
        <v>359.226</v>
      </c>
      <c r="N56" s="3">
        <f ca="1"/>
        <v>357.96600000000001</v>
      </c>
      <c r="O56" s="3">
        <f ca="1"/>
        <v>0</v>
      </c>
      <c r="P56" s="3">
        <f ca="1"/>
        <v>0</v>
      </c>
      <c r="Q56" s="3" t="str">
        <f ca="1"/>
        <v xml:space="preserve"> </v>
      </c>
      <c r="R56" s="3" t="str">
        <f ca="1"/>
        <v xml:space="preserve"> </v>
      </c>
      <c r="S56" s="3">
        <f ca="1"/>
        <v>0</v>
      </c>
      <c r="T56" s="3">
        <f ca="1"/>
        <v>0.9</v>
      </c>
      <c r="U56" s="3">
        <f ca="1"/>
        <v>0</v>
      </c>
      <c r="V56" s="3">
        <f ca="1"/>
        <v>1</v>
      </c>
      <c r="W56" s="3">
        <f ca="1"/>
        <v>0</v>
      </c>
      <c r="X56" s="3">
        <f ca="1"/>
        <v>1</v>
      </c>
      <c r="Y56" s="3">
        <f ca="1"/>
        <v>0.5</v>
      </c>
      <c r="Z56" s="3">
        <f ca="1"/>
        <v>1</v>
      </c>
    </row>
    <row r="57" spans="1:26" x14ac:dyDescent="0.25">
      <c r="A57">
        <f ca="1"/>
        <v>56</v>
      </c>
      <c r="B57" s="3" t="str">
        <f ca="1"/>
        <v>R-7c</v>
      </c>
      <c r="C57" s="3" t="str">
        <f ca="1"/>
        <v>R-7c</v>
      </c>
      <c r="D57" s="3">
        <f ca="1"/>
        <v>1</v>
      </c>
      <c r="E57" s="3">
        <f ca="1"/>
        <v>28</v>
      </c>
      <c r="F57" s="3">
        <f ca="1"/>
        <v>690270.38070888899</v>
      </c>
      <c r="G57" s="3">
        <f ca="1"/>
        <v>7567896.6598229604</v>
      </c>
      <c r="H57" s="3" t="str">
        <f ca="1"/>
        <v>C</v>
      </c>
      <c r="I57" s="3" t="str">
        <f ca="1"/>
        <v>F</v>
      </c>
      <c r="J57" s="3" t="str">
        <f ca="1"/>
        <v>T</v>
      </c>
      <c r="K57" s="12">
        <f ca="1"/>
        <v>48.158669158089893</v>
      </c>
      <c r="L57" s="3">
        <f ca="1"/>
        <v>2.4E-2</v>
      </c>
      <c r="M57" s="3">
        <f ca="1"/>
        <v>359.226</v>
      </c>
      <c r="N57" s="3">
        <f ca="1"/>
        <v>357.96600000000001</v>
      </c>
      <c r="O57" s="3">
        <f ca="1"/>
        <v>0</v>
      </c>
      <c r="P57" s="3">
        <f ca="1"/>
        <v>0</v>
      </c>
      <c r="Q57" s="3" t="str">
        <f ca="1"/>
        <v xml:space="preserve"> </v>
      </c>
      <c r="R57" s="3" t="str">
        <f ca="1"/>
        <v xml:space="preserve"> </v>
      </c>
      <c r="S57" s="3">
        <f ca="1"/>
        <v>0</v>
      </c>
      <c r="T57" s="3">
        <f ca="1"/>
        <v>0.9</v>
      </c>
      <c r="U57" s="3">
        <f ca="1"/>
        <v>0</v>
      </c>
      <c r="V57" s="3">
        <f ca="1"/>
        <v>1</v>
      </c>
      <c r="W57" s="3">
        <f ca="1"/>
        <v>0</v>
      </c>
      <c r="X57" s="3">
        <f ca="1"/>
        <v>1</v>
      </c>
      <c r="Y57" s="3">
        <f ca="1"/>
        <v>0.5</v>
      </c>
      <c r="Z57" s="3">
        <f ca="1"/>
        <v>1</v>
      </c>
    </row>
    <row r="58" spans="1:26" x14ac:dyDescent="0.25">
      <c r="A58">
        <f ca="1"/>
        <v>57</v>
      </c>
      <c r="B58" s="3" t="str">
        <f ca="1"/>
        <v>R-8</v>
      </c>
      <c r="C58" s="3" t="str">
        <f ca="1"/>
        <v>R-8</v>
      </c>
      <c r="D58" s="3">
        <f ca="1"/>
        <v>0</v>
      </c>
      <c r="E58" s="3">
        <f ca="1"/>
        <v>29</v>
      </c>
      <c r="F58" s="3">
        <f ca="1"/>
        <v>691252.82407464599</v>
      </c>
      <c r="G58" s="3">
        <f ca="1"/>
        <v>7569121.8326955698</v>
      </c>
      <c r="H58" s="3" t="str">
        <f ca="1"/>
        <v>C</v>
      </c>
      <c r="I58" s="3" t="str">
        <f ca="1"/>
        <v>F</v>
      </c>
      <c r="J58" s="3" t="str">
        <f ca="1"/>
        <v>T</v>
      </c>
      <c r="K58" s="12">
        <f ca="1"/>
        <v>30.274923837218594</v>
      </c>
      <c r="L58" s="3">
        <f ca="1"/>
        <v>2.4E-2</v>
      </c>
      <c r="M58" s="3">
        <f ca="1"/>
        <v>352.682037353515</v>
      </c>
      <c r="N58" s="3">
        <f ca="1"/>
        <v>352.22879028320301</v>
      </c>
      <c r="O58" s="3">
        <f ca="1"/>
        <v>0</v>
      </c>
      <c r="P58" s="3">
        <f ca="1"/>
        <v>0</v>
      </c>
      <c r="Q58" s="3" t="str">
        <f ca="1"/>
        <v xml:space="preserve"> </v>
      </c>
      <c r="R58" s="3" t="str">
        <f ca="1"/>
        <v xml:space="preserve"> </v>
      </c>
      <c r="S58" s="3">
        <f ca="1"/>
        <v>0</v>
      </c>
      <c r="T58" s="3">
        <f ca="1"/>
        <v>1.5</v>
      </c>
      <c r="U58" s="3">
        <f ca="1"/>
        <v>0</v>
      </c>
      <c r="V58" s="3">
        <f ca="1"/>
        <v>9</v>
      </c>
      <c r="W58" s="3">
        <f ca="1"/>
        <v>0</v>
      </c>
      <c r="X58" s="3">
        <f ca="1"/>
        <v>1</v>
      </c>
      <c r="Y58" s="3">
        <f ca="1"/>
        <v>0.5</v>
      </c>
      <c r="Z58" s="3">
        <f ca="1"/>
        <v>1</v>
      </c>
    </row>
    <row r="59" spans="1:26" x14ac:dyDescent="0.25">
      <c r="A59">
        <f ca="1"/>
        <v>58</v>
      </c>
      <c r="B59" s="3" t="str">
        <f ca="1"/>
        <v>R-8</v>
      </c>
      <c r="C59" s="3" t="str">
        <f ca="1"/>
        <v>R-8</v>
      </c>
      <c r="D59" s="3">
        <f ca="1"/>
        <v>1</v>
      </c>
      <c r="E59" s="3">
        <f ca="1"/>
        <v>29</v>
      </c>
      <c r="F59" s="3">
        <f ca="1"/>
        <v>691279.20103022002</v>
      </c>
      <c r="G59" s="3">
        <f ca="1"/>
        <v>7569106.97243891</v>
      </c>
      <c r="H59" s="3" t="str">
        <f ca="1"/>
        <v>C</v>
      </c>
      <c r="I59" s="3" t="str">
        <f ca="1"/>
        <v>F</v>
      </c>
      <c r="J59" s="3" t="str">
        <f ca="1"/>
        <v>T</v>
      </c>
      <c r="K59" s="12">
        <f ca="1"/>
        <v>30.274923837218594</v>
      </c>
      <c r="L59" s="3">
        <f ca="1"/>
        <v>2.4E-2</v>
      </c>
      <c r="M59" s="3">
        <f ca="1"/>
        <v>352.682037353515</v>
      </c>
      <c r="N59" s="3">
        <f ca="1"/>
        <v>352.22879028320301</v>
      </c>
      <c r="O59" s="3">
        <f ca="1"/>
        <v>0</v>
      </c>
      <c r="P59" s="3">
        <f ca="1"/>
        <v>0</v>
      </c>
      <c r="Q59" s="3" t="str">
        <f ca="1"/>
        <v xml:space="preserve"> </v>
      </c>
      <c r="R59" s="3" t="str">
        <f ca="1"/>
        <v xml:space="preserve"> </v>
      </c>
      <c r="S59" s="3">
        <f ca="1"/>
        <v>0</v>
      </c>
      <c r="T59" s="3">
        <f ca="1"/>
        <v>1.5</v>
      </c>
      <c r="U59" s="3">
        <f ca="1"/>
        <v>0</v>
      </c>
      <c r="V59" s="3">
        <f ca="1"/>
        <v>9</v>
      </c>
      <c r="W59" s="3">
        <f ca="1"/>
        <v>0</v>
      </c>
      <c r="X59" s="3">
        <f ca="1"/>
        <v>1</v>
      </c>
      <c r="Y59" s="3">
        <f ca="1"/>
        <v>0.5</v>
      </c>
      <c r="Z59" s="3">
        <f ca="1"/>
        <v>1</v>
      </c>
    </row>
    <row r="60" spans="1:26" x14ac:dyDescent="0.25">
      <c r="A60">
        <f ca="1"/>
        <v>59</v>
      </c>
      <c r="B60" s="3" t="str">
        <f ca="1"/>
        <v>R-9</v>
      </c>
      <c r="C60" s="3" t="str">
        <f ca="1"/>
        <v>R-9</v>
      </c>
      <c r="D60" s="3">
        <f ca="1"/>
        <v>0</v>
      </c>
      <c r="E60" s="3">
        <f ca="1"/>
        <v>30</v>
      </c>
      <c r="F60" s="3">
        <f ca="1"/>
        <v>691479.22176939005</v>
      </c>
      <c r="G60" s="3">
        <f ca="1"/>
        <v>7569401.4600858204</v>
      </c>
      <c r="H60" s="3" t="str">
        <f ca="1"/>
        <v>C</v>
      </c>
      <c r="I60" s="3" t="str">
        <f ca="1"/>
        <v>F</v>
      </c>
      <c r="J60" s="3" t="str">
        <f ca="1"/>
        <v>T</v>
      </c>
      <c r="K60" s="12">
        <f ca="1"/>
        <v>31.279637067070155</v>
      </c>
      <c r="L60" s="3">
        <f ca="1"/>
        <v>2.4E-2</v>
      </c>
      <c r="M60" s="3">
        <f ca="1"/>
        <v>354.05548095703102</v>
      </c>
      <c r="N60" s="3">
        <f ca="1"/>
        <v>353.73797607421801</v>
      </c>
      <c r="O60" s="3">
        <f ca="1"/>
        <v>0</v>
      </c>
      <c r="P60" s="3">
        <f ca="1"/>
        <v>0</v>
      </c>
      <c r="Q60" s="3" t="str">
        <f ca="1"/>
        <v xml:space="preserve"> </v>
      </c>
      <c r="R60" s="3" t="str">
        <f ca="1"/>
        <v xml:space="preserve"> </v>
      </c>
      <c r="S60" s="3">
        <f ca="1"/>
        <v>0</v>
      </c>
      <c r="T60" s="3">
        <f ca="1"/>
        <v>0.9</v>
      </c>
      <c r="U60" s="3">
        <f ca="1"/>
        <v>0</v>
      </c>
      <c r="V60" s="3">
        <f ca="1"/>
        <v>3</v>
      </c>
      <c r="W60" s="3">
        <f ca="1"/>
        <v>0</v>
      </c>
      <c r="X60" s="3">
        <f ca="1"/>
        <v>1</v>
      </c>
      <c r="Y60" s="3">
        <f ca="1"/>
        <v>0.5</v>
      </c>
      <c r="Z60" s="3">
        <f ca="1"/>
        <v>1</v>
      </c>
    </row>
    <row r="61" spans="1:26" x14ac:dyDescent="0.25">
      <c r="A61">
        <f ca="1"/>
        <v>60</v>
      </c>
      <c r="B61" s="3" t="str">
        <f ca="1"/>
        <v>R-9</v>
      </c>
      <c r="C61" s="3" t="str">
        <f ca="1"/>
        <v>R-9</v>
      </c>
      <c r="D61" s="3">
        <f ca="1"/>
        <v>1</v>
      </c>
      <c r="E61" s="3">
        <f ca="1"/>
        <v>30</v>
      </c>
      <c r="F61" s="3">
        <f ca="1"/>
        <v>691507.72391469299</v>
      </c>
      <c r="G61" s="3">
        <f ca="1"/>
        <v>7569388.5743026398</v>
      </c>
      <c r="H61" s="3" t="str">
        <f ca="1"/>
        <v>C</v>
      </c>
      <c r="I61" s="3" t="str">
        <f ca="1"/>
        <v>F</v>
      </c>
      <c r="J61" s="3" t="str">
        <f ca="1"/>
        <v>T</v>
      </c>
      <c r="K61" s="12">
        <f ca="1"/>
        <v>31.279637067070155</v>
      </c>
      <c r="L61" s="3">
        <f ca="1"/>
        <v>2.4E-2</v>
      </c>
      <c r="M61" s="3">
        <f ca="1"/>
        <v>354.05548095703102</v>
      </c>
      <c r="N61" s="3">
        <f ca="1"/>
        <v>353.73797607421801</v>
      </c>
      <c r="O61" s="3">
        <f ca="1"/>
        <v>0</v>
      </c>
      <c r="P61" s="3">
        <f ca="1"/>
        <v>0</v>
      </c>
      <c r="Q61" s="3" t="str">
        <f ca="1"/>
        <v xml:space="preserve"> </v>
      </c>
      <c r="R61" s="3" t="str">
        <f ca="1"/>
        <v xml:space="preserve"> </v>
      </c>
      <c r="S61" s="3">
        <f ca="1"/>
        <v>0</v>
      </c>
      <c r="T61" s="3">
        <f ca="1"/>
        <v>0.9</v>
      </c>
      <c r="U61" s="3">
        <f ca="1"/>
        <v>0</v>
      </c>
      <c r="V61" s="3">
        <f ca="1"/>
        <v>3</v>
      </c>
      <c r="W61" s="3">
        <f ca="1"/>
        <v>0</v>
      </c>
      <c r="X61" s="3">
        <f ca="1"/>
        <v>1</v>
      </c>
      <c r="Y61" s="3">
        <f ca="1"/>
        <v>0.5</v>
      </c>
      <c r="Z61" s="3">
        <f ca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24</vt:i4>
      </vt:variant>
    </vt:vector>
  </HeadingPairs>
  <TitlesOfParts>
    <vt:vector size="34" baseType="lpstr">
      <vt:lpstr>12D-Road.rpt</vt:lpstr>
      <vt:lpstr>12D-Culverts.rpt</vt:lpstr>
      <vt:lpstr>1d_nwk-import</vt:lpstr>
      <vt:lpstr>PointsTidy -from 1dnwk</vt:lpstr>
      <vt:lpstr>PointsTidy - 12D</vt:lpstr>
      <vt:lpstr>ProcessAngle</vt:lpstr>
      <vt:lpstr>PointsTidy - master</vt:lpstr>
      <vt:lpstr>2d_bc</vt:lpstr>
      <vt:lpstr>2d_zsh</vt:lpstr>
      <vt:lpstr>1d_nwk</vt:lpstr>
      <vt:lpstr>a</vt:lpstr>
      <vt:lpstr>b</vt:lpstr>
      <vt:lpstr>Connection</vt:lpstr>
      <vt:lpstr>d</vt:lpstr>
      <vt:lpstr>dZ</vt:lpstr>
      <vt:lpstr>External</vt:lpstr>
      <vt:lpstr>f</vt:lpstr>
      <vt:lpstr>Flags</vt:lpstr>
      <vt:lpstr>grid_factor</vt:lpstr>
      <vt:lpstr>grid_size</vt:lpstr>
      <vt:lpstr>LengthFactor</vt:lpstr>
      <vt:lpstr>max_width</vt:lpstr>
      <vt:lpstr>min_width</vt:lpstr>
      <vt:lpstr>MinLength</vt:lpstr>
      <vt:lpstr>Name</vt:lpstr>
      <vt:lpstr>PaddingFactor</vt:lpstr>
      <vt:lpstr>pipe_factor</vt:lpstr>
      <vt:lpstr>PipeEnds</vt:lpstr>
      <vt:lpstr>PipeSpacing</vt:lpstr>
      <vt:lpstr>Shape_Options</vt:lpstr>
      <vt:lpstr>Shape_width_or_dMax</vt:lpstr>
      <vt:lpstr>td</vt:lpstr>
      <vt:lpstr>WidthFactor</vt:lpstr>
      <vt:lpstr>Z_shift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Brook</dc:creator>
  <cp:lastModifiedBy>Ryan Brook</cp:lastModifiedBy>
  <dcterms:created xsi:type="dcterms:W3CDTF">2018-07-31T09:09:15Z</dcterms:created>
  <dcterms:modified xsi:type="dcterms:W3CDTF">2026-06-05T15:00:20Z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2024-03-20T07:43:50Z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d3c0d71c-0375-4e7c-8194-35c953f312bf</vt:lpwstr>
  </property>
  <property fmtid="{D5CDD505-2E9C-101B-9397-08002B2CF9AE}" pid="7" name="MSIP_Label_defa4170-0d19-0005-0004-bc88714345d2_ActionId">
    <vt:lpwstr>1808686e-96cf-4302-96a2-c728174cd8c7</vt:lpwstr>
  </property>
  <property fmtid="{D5CDD505-2E9C-101B-9397-08002B2CF9AE}" pid="8" name="MSIP_Label_defa4170-0d19-0005-0004-bc88714345d2_ContentBits">
    <vt:lpwstr>0</vt:lpwstr>
  </property>
</Properties>
</file>