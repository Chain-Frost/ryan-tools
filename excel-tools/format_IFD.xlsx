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Library\Automation\ryan-tools\excel-tools\"/>
    </mc:Choice>
  </mc:AlternateContent>
  <xr:revisionPtr revIDLastSave="0" documentId="13_ncr:1_{23CBBBAD-8911-419A-912B-1B6C40D463EF}" xr6:coauthVersionLast="47" xr6:coauthVersionMax="47" xr10:uidLastSave="{00000000-0000-0000-0000-000000000000}"/>
  <bookViews>
    <workbookView xWindow="-54600" yWindow="-2550" windowWidth="25800" windowHeight="21150" activeTab="1" xr2:uid="{E1FEFACF-31CA-4DC4-BF45-269D09030C4E}"/>
  </bookViews>
  <sheets>
    <sheet name="raw_IFD" sheetId="1" r:id="rId1"/>
    <sheet name="formatt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A3" i="2"/>
  <c r="B3" i="2" s="1"/>
  <c r="A2" i="2"/>
  <c r="B2" i="2" s="1"/>
  <c r="A9" i="2" a="1"/>
  <c r="A9" i="2" s="1"/>
  <c r="D9" i="2" s="1" a="1"/>
  <c r="D9" i="2" s="1"/>
  <c r="H1" i="2" a="1"/>
  <c r="H1" i="2" s="1"/>
  <c r="H2" i="2" s="1" a="1"/>
  <c r="H2" i="2" s="1"/>
  <c r="R7" i="2" l="1"/>
  <c r="H4" i="2" a="1"/>
  <c r="H4" i="2" s="1"/>
  <c r="H5" i="2" s="1" a="1"/>
  <c r="H5" i="2" s="1"/>
  <c r="H8" i="2" s="1" a="1"/>
  <c r="B9" i="2" a="1"/>
  <c r="B9" i="2" s="1"/>
  <c r="E9" i="2" s="1" a="1"/>
  <c r="E9" i="2" s="1"/>
  <c r="G9" i="2" s="1" a="1"/>
  <c r="G9" i="2" l="1"/>
  <c r="R9" i="2" s="1" a="1"/>
  <c r="R9" i="2" s="1"/>
  <c r="H8" i="2"/>
  <c r="S9" i="2" a="1"/>
  <c r="S9" i="2" s="1"/>
  <c r="S8" i="2" a="1"/>
  <c r="S8" i="2" s="1"/>
  <c r="H9" i="2" a="1"/>
  <c r="H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<sst xmlns="http://schemas.openxmlformats.org/spreadsheetml/2006/main" count="66" uniqueCount="56">
  <si>
    <t>Copyright Commonwealth of Australia 2016 Bureau of Meteorology (ABN 92 637 533 532)</t>
  </si>
  <si>
    <t>All Design Rainfall Depth (mm)</t>
  </si>
  <si>
    <t>Issued:</t>
  </si>
  <si>
    <t>Location Label:</t>
  </si>
  <si>
    <t>Requested coordinate:</t>
  </si>
  <si>
    <t>Latitude</t>
  </si>
  <si>
    <t>Longitude</t>
  </si>
  <si>
    <t>Nearest grid cell:</t>
  </si>
  <si>
    <t>Exceedances per Year (EY)</t>
  </si>
  <si>
    <t>Annual Exceedance Probability (AEP)</t>
  </si>
  <si>
    <t>Duration</t>
  </si>
  <si>
    <t>1 in 200</t>
  </si>
  <si>
    <t>1 in 500</t>
  </si>
  <si>
    <t>1 in 1000</t>
  </si>
  <si>
    <t>1 in 2000</t>
  </si>
  <si>
    <t>1 min</t>
  </si>
  <si>
    <t>2 min</t>
  </si>
  <si>
    <t>3 min</t>
  </si>
  <si>
    <t>4 min</t>
  </si>
  <si>
    <t>5 min</t>
  </si>
  <si>
    <t>10 min</t>
  </si>
  <si>
    <t>15 min</t>
  </si>
  <si>
    <t>20 min</t>
  </si>
  <si>
    <t>25 min</t>
  </si>
  <si>
    <t>30 min</t>
  </si>
  <si>
    <t>45 min</t>
  </si>
  <si>
    <t>1 hour</t>
  </si>
  <si>
    <t>1.5 hour</t>
  </si>
  <si>
    <t>2 hour</t>
  </si>
  <si>
    <t>3 hour</t>
  </si>
  <si>
    <t>4.5 hour</t>
  </si>
  <si>
    <t>6 hour</t>
  </si>
  <si>
    <t>9 hour</t>
  </si>
  <si>
    <t>12 hour</t>
  </si>
  <si>
    <t>18 hour</t>
  </si>
  <si>
    <t>24 hour</t>
  </si>
  <si>
    <t>30 hour</t>
  </si>
  <si>
    <t>36 hour</t>
  </si>
  <si>
    <t>48 hour</t>
  </si>
  <si>
    <t>72 hour</t>
  </si>
  <si>
    <t>96 hour</t>
  </si>
  <si>
    <t>120 hour</t>
  </si>
  <si>
    <t>144 hour</t>
  </si>
  <si>
    <t>168 hour</t>
  </si>
  <si>
    <t>Available</t>
  </si>
  <si>
    <t>Using</t>
  </si>
  <si>
    <t>Found</t>
  </si>
  <si>
    <t>Text version</t>
  </si>
  <si>
    <t>Text</t>
  </si>
  <si>
    <t>AEP list</t>
  </si>
  <si>
    <t>Text Version</t>
  </si>
  <si>
    <t>Significant figures</t>
  </si>
  <si>
    <t>22.5875 (S)</t>
  </si>
  <si>
    <t>117.0125 (E)</t>
  </si>
  <si>
    <t>X sig fig, rounding integers</t>
  </si>
  <si>
    <t>X sig fig, but does not round integers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</si>
</sst>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5" fontId="0" fillId="0" borderId="0" xfId="0" applyNumberFormat="1"/>
    <xf numFmtId="9" fontId="0" fillId="0" borderId="0" xfId="1" applyFont="1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1" applyFont="1" applyAlignment="1">
      <alignment horizontal="center"/>
    </xf>
    <xf numFmtId="10" fontId="0" fillId="0" borderId="0" xfId="0" applyNumberFormat="1"/>
    <xf numFmtId="9" fontId="0" fillId="0" borderId="0" xfId="0" applyNumberFormat="1"/>
    <xf numFmtId="0" fontId="8" fillId="4" borderId="0" xfId="9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0590-E237-4CBD-8CA3-EB5706A6CD7F}">
  <sheetPr codeName="Sheet1"/>
  <dimension ref="A1:P39"/>
  <sheetViews>
    <sheetView workbookViewId="0">
      <selection activeCell="B10" sqref="B10:M39"/>
    </sheetView>
  </sheetViews>
  <sheetFormatPr defaultRowHeight="15" x14ac:dyDescent="0.25"/>
  <sheetData>
    <row r="1" spans="1:16" x14ac:dyDescent="0.25">
      <c r="A1" t="s">
        <v>0</v>
      </c>
    </row>
    <row r="3" spans="1:16" x14ac:dyDescent="0.25">
      <c r="A3" t="s">
        <v>1</v>
      </c>
    </row>
    <row r="4" spans="1:16" x14ac:dyDescent="0.25">
      <c r="A4" t="s">
        <v>2</v>
      </c>
      <c r="B4" s="1">
        <v>45575</v>
      </c>
    </row>
    <row r="5" spans="1:16" x14ac:dyDescent="0.25">
      <c r="A5" t="s">
        <v>3</v>
      </c>
    </row>
    <row r="6" spans="1:16" x14ac:dyDescent="0.25">
      <c r="A6" t="s">
        <v>4</v>
      </c>
      <c r="B6" t="s">
        <v>5</v>
      </c>
      <c r="C6">
        <v>-22.57976</v>
      </c>
      <c r="D6" t="s">
        <v>6</v>
      </c>
      <c r="E6">
        <v>117.00318</v>
      </c>
    </row>
    <row r="7" spans="1:16" x14ac:dyDescent="0.25">
      <c r="A7" t="s">
        <v>7</v>
      </c>
      <c r="B7" t="s">
        <v>5</v>
      </c>
      <c r="C7" t="s">
        <v>52</v>
      </c>
      <c r="D7" t="s">
        <v>6</v>
      </c>
      <c r="E7" t="s">
        <v>53</v>
      </c>
    </row>
    <row r="9" spans="1:16" x14ac:dyDescent="0.25">
      <c r="C9" t="s">
        <v>8</v>
      </c>
      <c r="D9" t="s">
        <v>9</v>
      </c>
    </row>
    <row r="10" spans="1:16" x14ac:dyDescent="0.25">
      <c r="A10" t="s">
        <v>10</v>
      </c>
      <c r="B10" t="s">
        <v>10</v>
      </c>
      <c r="C10" s="6">
        <v>0.63200000000000001</v>
      </c>
      <c r="D10" s="7">
        <v>0.5</v>
      </c>
      <c r="E10" s="7">
        <v>0.2</v>
      </c>
      <c r="F10" s="7">
        <v>0.1</v>
      </c>
      <c r="G10" s="7">
        <v>0.05</v>
      </c>
      <c r="H10" s="7">
        <v>0.02</v>
      </c>
      <c r="I10" s="7">
        <v>0.01</v>
      </c>
      <c r="J10" t="s">
        <v>11</v>
      </c>
      <c r="K10" t="s">
        <v>12</v>
      </c>
      <c r="L10" t="s">
        <v>13</v>
      </c>
      <c r="M10" t="s">
        <v>14</v>
      </c>
      <c r="N10" s="7"/>
      <c r="O10" s="7"/>
      <c r="P10" s="7"/>
    </row>
    <row r="11" spans="1:16" x14ac:dyDescent="0.25">
      <c r="A11" t="s">
        <v>15</v>
      </c>
      <c r="B11">
        <v>1</v>
      </c>
      <c r="C11">
        <v>1.7</v>
      </c>
      <c r="D11">
        <v>1.97</v>
      </c>
      <c r="E11">
        <v>2.83</v>
      </c>
      <c r="F11">
        <v>3.42</v>
      </c>
      <c r="G11">
        <v>4.01</v>
      </c>
      <c r="H11">
        <v>4.79</v>
      </c>
      <c r="I11">
        <v>5.39</v>
      </c>
      <c r="J11">
        <v>6.14</v>
      </c>
      <c r="K11">
        <v>7.25</v>
      </c>
      <c r="L11">
        <v>8.14</v>
      </c>
      <c r="M11">
        <v>9.1</v>
      </c>
    </row>
    <row r="12" spans="1:16" x14ac:dyDescent="0.25">
      <c r="A12" t="s">
        <v>16</v>
      </c>
      <c r="B12">
        <v>2</v>
      </c>
      <c r="C12">
        <v>2.81</v>
      </c>
      <c r="D12">
        <v>3.25</v>
      </c>
      <c r="E12">
        <v>4.6100000000000003</v>
      </c>
      <c r="F12">
        <v>5.54</v>
      </c>
      <c r="G12">
        <v>6.45</v>
      </c>
      <c r="H12">
        <v>7.65</v>
      </c>
      <c r="I12">
        <v>8.57</v>
      </c>
      <c r="J12">
        <v>9.74</v>
      </c>
      <c r="K12">
        <v>11.4</v>
      </c>
      <c r="L12">
        <v>12.7</v>
      </c>
      <c r="M12">
        <v>14.1</v>
      </c>
    </row>
    <row r="13" spans="1:16" x14ac:dyDescent="0.25">
      <c r="A13" t="s">
        <v>17</v>
      </c>
      <c r="B13">
        <v>3</v>
      </c>
      <c r="C13">
        <v>3.97</v>
      </c>
      <c r="D13">
        <v>4.59</v>
      </c>
      <c r="E13">
        <v>6.55</v>
      </c>
      <c r="F13">
        <v>7.88</v>
      </c>
      <c r="G13">
        <v>9.19</v>
      </c>
      <c r="H13">
        <v>10.9</v>
      </c>
      <c r="I13">
        <v>12.3</v>
      </c>
      <c r="J13">
        <v>14</v>
      </c>
      <c r="K13">
        <v>16.399999999999999</v>
      </c>
      <c r="L13">
        <v>18.3</v>
      </c>
      <c r="M13">
        <v>20.3</v>
      </c>
    </row>
    <row r="14" spans="1:16" x14ac:dyDescent="0.25">
      <c r="A14" t="s">
        <v>18</v>
      </c>
      <c r="B14">
        <v>4</v>
      </c>
      <c r="C14">
        <v>5.0599999999999996</v>
      </c>
      <c r="D14">
        <v>5.86</v>
      </c>
      <c r="E14">
        <v>8.39</v>
      </c>
      <c r="F14">
        <v>10.1</v>
      </c>
      <c r="G14">
        <v>11.8</v>
      </c>
      <c r="H14">
        <v>14.1</v>
      </c>
      <c r="I14">
        <v>15.9</v>
      </c>
      <c r="J14">
        <v>18.100000000000001</v>
      </c>
      <c r="K14">
        <v>21.2</v>
      </c>
      <c r="L14">
        <v>23.8</v>
      </c>
      <c r="M14">
        <v>26.4</v>
      </c>
    </row>
    <row r="15" spans="1:16" x14ac:dyDescent="0.25">
      <c r="A15" t="s">
        <v>19</v>
      </c>
      <c r="B15">
        <v>5</v>
      </c>
      <c r="C15">
        <v>6.07</v>
      </c>
      <c r="D15">
        <v>7.04</v>
      </c>
      <c r="E15">
        <v>10.1</v>
      </c>
      <c r="F15">
        <v>12.2</v>
      </c>
      <c r="G15">
        <v>14.3</v>
      </c>
      <c r="H15">
        <v>17</v>
      </c>
      <c r="I15">
        <v>19.2</v>
      </c>
      <c r="J15">
        <v>21.9</v>
      </c>
      <c r="K15">
        <v>25.7</v>
      </c>
      <c r="L15">
        <v>28.9</v>
      </c>
      <c r="M15">
        <v>32.200000000000003</v>
      </c>
    </row>
    <row r="16" spans="1:16" x14ac:dyDescent="0.25">
      <c r="A16" t="s">
        <v>20</v>
      </c>
      <c r="B16">
        <v>10</v>
      </c>
      <c r="C16">
        <v>10.1</v>
      </c>
      <c r="D16">
        <v>11.7</v>
      </c>
      <c r="E16">
        <v>16.8</v>
      </c>
      <c r="F16">
        <v>20.3</v>
      </c>
      <c r="G16">
        <v>23.8</v>
      </c>
      <c r="H16">
        <v>28.5</v>
      </c>
      <c r="I16">
        <v>32.1</v>
      </c>
      <c r="J16">
        <v>36.6</v>
      </c>
      <c r="K16">
        <v>43.3</v>
      </c>
      <c r="L16">
        <v>48.7</v>
      </c>
      <c r="M16">
        <v>54.5</v>
      </c>
    </row>
    <row r="17" spans="1:13" x14ac:dyDescent="0.25">
      <c r="A17" t="s">
        <v>21</v>
      </c>
      <c r="B17">
        <v>15</v>
      </c>
      <c r="C17">
        <v>12.8</v>
      </c>
      <c r="D17">
        <v>14.9</v>
      </c>
      <c r="E17">
        <v>21.4</v>
      </c>
      <c r="F17">
        <v>25.9</v>
      </c>
      <c r="G17">
        <v>30.3</v>
      </c>
      <c r="H17">
        <v>36.200000000000003</v>
      </c>
      <c r="I17">
        <v>40.799999999999997</v>
      </c>
      <c r="J17">
        <v>46.5</v>
      </c>
      <c r="K17">
        <v>55</v>
      </c>
      <c r="L17">
        <v>61.8</v>
      </c>
      <c r="M17">
        <v>69.2</v>
      </c>
    </row>
    <row r="18" spans="1:13" x14ac:dyDescent="0.25">
      <c r="A18" t="s">
        <v>22</v>
      </c>
      <c r="B18">
        <v>20</v>
      </c>
      <c r="C18">
        <v>14.9</v>
      </c>
      <c r="D18">
        <v>17.3</v>
      </c>
      <c r="E18">
        <v>24.8</v>
      </c>
      <c r="F18">
        <v>30</v>
      </c>
      <c r="G18">
        <v>35.1</v>
      </c>
      <c r="H18">
        <v>41.9</v>
      </c>
      <c r="I18">
        <v>47.1</v>
      </c>
      <c r="J18">
        <v>53.7</v>
      </c>
      <c r="K18">
        <v>63.5</v>
      </c>
      <c r="L18">
        <v>71.3</v>
      </c>
      <c r="M18">
        <v>79.8</v>
      </c>
    </row>
    <row r="19" spans="1:13" x14ac:dyDescent="0.25">
      <c r="A19" t="s">
        <v>23</v>
      </c>
      <c r="B19">
        <v>25</v>
      </c>
      <c r="C19">
        <v>16.5</v>
      </c>
      <c r="D19">
        <v>19.100000000000001</v>
      </c>
      <c r="E19">
        <v>27.5</v>
      </c>
      <c r="F19">
        <v>33.200000000000003</v>
      </c>
      <c r="G19">
        <v>38.799999999999997</v>
      </c>
      <c r="H19">
        <v>46.3</v>
      </c>
      <c r="I19">
        <v>52.1</v>
      </c>
      <c r="J19">
        <v>59.4</v>
      </c>
      <c r="K19">
        <v>70.099999999999994</v>
      </c>
      <c r="L19">
        <v>78.7</v>
      </c>
      <c r="M19">
        <v>88</v>
      </c>
    </row>
    <row r="20" spans="1:13" x14ac:dyDescent="0.25">
      <c r="A20" t="s">
        <v>24</v>
      </c>
      <c r="B20">
        <v>30</v>
      </c>
      <c r="C20">
        <v>17.8</v>
      </c>
      <c r="D20">
        <v>20.7</v>
      </c>
      <c r="E20">
        <v>29.6</v>
      </c>
      <c r="F20">
        <v>35.799999999999997</v>
      </c>
      <c r="G20">
        <v>41.8</v>
      </c>
      <c r="H20">
        <v>49.9</v>
      </c>
      <c r="I20">
        <v>56.1</v>
      </c>
      <c r="J20">
        <v>64</v>
      </c>
      <c r="K20">
        <v>75.5</v>
      </c>
      <c r="L20">
        <v>84.7</v>
      </c>
      <c r="M20">
        <v>94.6</v>
      </c>
    </row>
    <row r="21" spans="1:13" x14ac:dyDescent="0.25">
      <c r="A21" t="s">
        <v>25</v>
      </c>
      <c r="B21">
        <v>45</v>
      </c>
      <c r="C21">
        <v>20.7</v>
      </c>
      <c r="D21">
        <v>24</v>
      </c>
      <c r="E21">
        <v>34.5</v>
      </c>
      <c r="F21">
        <v>41.6</v>
      </c>
      <c r="G21">
        <v>48.7</v>
      </c>
      <c r="H21">
        <v>58.1</v>
      </c>
      <c r="I21">
        <v>65.3</v>
      </c>
      <c r="J21">
        <v>74.400000000000006</v>
      </c>
      <c r="K21">
        <v>87.7</v>
      </c>
      <c r="L21">
        <v>98.4</v>
      </c>
      <c r="M21">
        <v>110</v>
      </c>
    </row>
    <row r="22" spans="1:13" x14ac:dyDescent="0.25">
      <c r="A22" t="s">
        <v>26</v>
      </c>
      <c r="B22">
        <v>60</v>
      </c>
      <c r="C22">
        <v>22.8</v>
      </c>
      <c r="D22">
        <v>26.4</v>
      </c>
      <c r="E22">
        <v>37.9</v>
      </c>
      <c r="F22">
        <v>45.8</v>
      </c>
      <c r="G22">
        <v>53.7</v>
      </c>
      <c r="H22">
        <v>64.099999999999994</v>
      </c>
      <c r="I22">
        <v>72.2</v>
      </c>
      <c r="J22">
        <v>82.3</v>
      </c>
      <c r="K22">
        <v>96.8</v>
      </c>
      <c r="L22">
        <v>109</v>
      </c>
      <c r="M22">
        <v>121</v>
      </c>
    </row>
    <row r="23" spans="1:13" x14ac:dyDescent="0.25">
      <c r="A23" t="s">
        <v>27</v>
      </c>
      <c r="B23">
        <v>90</v>
      </c>
      <c r="C23">
        <v>25.7</v>
      </c>
      <c r="D23">
        <v>29.8</v>
      </c>
      <c r="E23">
        <v>43</v>
      </c>
      <c r="F23">
        <v>52.1</v>
      </c>
      <c r="G23">
        <v>61.2</v>
      </c>
      <c r="H23">
        <v>73.400000000000006</v>
      </c>
      <c r="I23">
        <v>83</v>
      </c>
      <c r="J23">
        <v>94.5</v>
      </c>
      <c r="K23">
        <v>111</v>
      </c>
      <c r="L23">
        <v>125</v>
      </c>
      <c r="M23">
        <v>139</v>
      </c>
    </row>
    <row r="24" spans="1:13" x14ac:dyDescent="0.25">
      <c r="A24" t="s">
        <v>28</v>
      </c>
      <c r="B24">
        <v>120</v>
      </c>
      <c r="C24">
        <v>27.8</v>
      </c>
      <c r="D24">
        <v>32.299999999999997</v>
      </c>
      <c r="E24">
        <v>46.9</v>
      </c>
      <c r="F24">
        <v>57.1</v>
      </c>
      <c r="G24">
        <v>67.2</v>
      </c>
      <c r="H24">
        <v>80.900000000000006</v>
      </c>
      <c r="I24">
        <v>91.7</v>
      </c>
      <c r="J24">
        <v>104</v>
      </c>
      <c r="K24">
        <v>123</v>
      </c>
      <c r="L24">
        <v>138</v>
      </c>
      <c r="M24">
        <v>154</v>
      </c>
    </row>
    <row r="25" spans="1:13" x14ac:dyDescent="0.25">
      <c r="A25" t="s">
        <v>29</v>
      </c>
      <c r="B25">
        <v>180</v>
      </c>
      <c r="C25">
        <v>31</v>
      </c>
      <c r="D25">
        <v>36.200000000000003</v>
      </c>
      <c r="E25">
        <v>53</v>
      </c>
      <c r="F25">
        <v>64.900000000000006</v>
      </c>
      <c r="G25">
        <v>76.900000000000006</v>
      </c>
      <c r="H25">
        <v>93.4</v>
      </c>
      <c r="I25">
        <v>106</v>
      </c>
      <c r="J25">
        <v>121</v>
      </c>
      <c r="K25">
        <v>143</v>
      </c>
      <c r="L25">
        <v>160</v>
      </c>
      <c r="M25">
        <v>179</v>
      </c>
    </row>
    <row r="26" spans="1:13" x14ac:dyDescent="0.25">
      <c r="A26" t="s">
        <v>30</v>
      </c>
      <c r="B26">
        <v>270</v>
      </c>
      <c r="C26">
        <v>34.5</v>
      </c>
      <c r="D26">
        <v>40.6</v>
      </c>
      <c r="E26">
        <v>60.3</v>
      </c>
      <c r="F26">
        <v>74.400000000000006</v>
      </c>
      <c r="G26">
        <v>88.7</v>
      </c>
      <c r="H26">
        <v>109</v>
      </c>
      <c r="I26">
        <v>125</v>
      </c>
      <c r="J26">
        <v>142</v>
      </c>
      <c r="K26">
        <v>168</v>
      </c>
      <c r="L26">
        <v>189</v>
      </c>
      <c r="M26">
        <v>211</v>
      </c>
    </row>
    <row r="27" spans="1:13" x14ac:dyDescent="0.25">
      <c r="A27" t="s">
        <v>31</v>
      </c>
      <c r="B27">
        <v>360</v>
      </c>
      <c r="C27">
        <v>37.4</v>
      </c>
      <c r="D27">
        <v>44.1</v>
      </c>
      <c r="E27">
        <v>66.2</v>
      </c>
      <c r="F27">
        <v>82.2</v>
      </c>
      <c r="G27">
        <v>98.7</v>
      </c>
      <c r="H27">
        <v>122</v>
      </c>
      <c r="I27">
        <v>140</v>
      </c>
      <c r="J27">
        <v>160</v>
      </c>
      <c r="K27">
        <v>189</v>
      </c>
      <c r="L27">
        <v>213</v>
      </c>
      <c r="M27">
        <v>239</v>
      </c>
    </row>
    <row r="28" spans="1:13" x14ac:dyDescent="0.25">
      <c r="A28" t="s">
        <v>32</v>
      </c>
      <c r="B28">
        <v>540</v>
      </c>
      <c r="C28">
        <v>42</v>
      </c>
      <c r="D28">
        <v>49.8</v>
      </c>
      <c r="E28">
        <v>76</v>
      </c>
      <c r="F28">
        <v>95.2</v>
      </c>
      <c r="G28">
        <v>115</v>
      </c>
      <c r="H28">
        <v>143</v>
      </c>
      <c r="I28">
        <v>166</v>
      </c>
      <c r="J28">
        <v>189</v>
      </c>
      <c r="K28">
        <v>224</v>
      </c>
      <c r="L28">
        <v>252</v>
      </c>
      <c r="M28">
        <v>283</v>
      </c>
    </row>
    <row r="29" spans="1:13" x14ac:dyDescent="0.25">
      <c r="A29" t="s">
        <v>33</v>
      </c>
      <c r="B29">
        <v>720</v>
      </c>
      <c r="C29">
        <v>45.7</v>
      </c>
      <c r="D29">
        <v>54.4</v>
      </c>
      <c r="E29">
        <v>83.9</v>
      </c>
      <c r="F29">
        <v>106</v>
      </c>
      <c r="G29">
        <v>128</v>
      </c>
      <c r="H29">
        <v>160</v>
      </c>
      <c r="I29">
        <v>186</v>
      </c>
      <c r="J29">
        <v>213</v>
      </c>
      <c r="K29">
        <v>252</v>
      </c>
      <c r="L29">
        <v>284</v>
      </c>
      <c r="M29">
        <v>319</v>
      </c>
    </row>
    <row r="30" spans="1:13" x14ac:dyDescent="0.25">
      <c r="A30" t="s">
        <v>34</v>
      </c>
      <c r="B30">
        <v>1080</v>
      </c>
      <c r="C30">
        <v>51.5</v>
      </c>
      <c r="D30">
        <v>61.7</v>
      </c>
      <c r="E30">
        <v>96.4</v>
      </c>
      <c r="F30">
        <v>122</v>
      </c>
      <c r="G30">
        <v>149</v>
      </c>
      <c r="H30">
        <v>187</v>
      </c>
      <c r="I30">
        <v>218</v>
      </c>
      <c r="J30">
        <v>248</v>
      </c>
      <c r="K30">
        <v>293</v>
      </c>
      <c r="L30">
        <v>330</v>
      </c>
      <c r="M30">
        <v>370</v>
      </c>
    </row>
    <row r="31" spans="1:13" x14ac:dyDescent="0.25">
      <c r="A31" t="s">
        <v>35</v>
      </c>
      <c r="B31">
        <v>1440</v>
      </c>
      <c r="C31">
        <v>56</v>
      </c>
      <c r="D31">
        <v>67.400000000000006</v>
      </c>
      <c r="E31">
        <v>106</v>
      </c>
      <c r="F31">
        <v>135</v>
      </c>
      <c r="G31">
        <v>165</v>
      </c>
      <c r="H31">
        <v>206</v>
      </c>
      <c r="I31">
        <v>240</v>
      </c>
      <c r="J31">
        <v>274</v>
      </c>
      <c r="K31">
        <v>323</v>
      </c>
      <c r="L31">
        <v>362</v>
      </c>
      <c r="M31">
        <v>405</v>
      </c>
    </row>
    <row r="32" spans="1:13" x14ac:dyDescent="0.25">
      <c r="A32" t="s">
        <v>36</v>
      </c>
      <c r="B32">
        <v>1800</v>
      </c>
      <c r="C32">
        <v>59.7</v>
      </c>
      <c r="D32">
        <v>72</v>
      </c>
      <c r="E32">
        <v>114</v>
      </c>
      <c r="F32">
        <v>144</v>
      </c>
      <c r="G32">
        <v>177</v>
      </c>
      <c r="H32">
        <v>221</v>
      </c>
      <c r="I32">
        <v>257</v>
      </c>
      <c r="J32">
        <v>294</v>
      </c>
      <c r="K32">
        <v>347</v>
      </c>
      <c r="L32">
        <v>390</v>
      </c>
      <c r="M32">
        <v>433</v>
      </c>
    </row>
    <row r="33" spans="1:13" x14ac:dyDescent="0.25">
      <c r="A33" t="s">
        <v>37</v>
      </c>
      <c r="B33">
        <v>2160</v>
      </c>
      <c r="C33">
        <v>62.7</v>
      </c>
      <c r="D33">
        <v>75.8</v>
      </c>
      <c r="E33">
        <v>120</v>
      </c>
      <c r="F33">
        <v>152</v>
      </c>
      <c r="G33">
        <v>186</v>
      </c>
      <c r="H33">
        <v>232</v>
      </c>
      <c r="I33">
        <v>269</v>
      </c>
      <c r="J33">
        <v>308</v>
      </c>
      <c r="K33">
        <v>363</v>
      </c>
      <c r="L33">
        <v>407</v>
      </c>
      <c r="M33">
        <v>450</v>
      </c>
    </row>
    <row r="34" spans="1:13" x14ac:dyDescent="0.25">
      <c r="A34" t="s">
        <v>38</v>
      </c>
      <c r="B34">
        <v>2880</v>
      </c>
      <c r="C34">
        <v>67.599999999999994</v>
      </c>
      <c r="D34">
        <v>81.7</v>
      </c>
      <c r="E34">
        <v>129</v>
      </c>
      <c r="F34">
        <v>164</v>
      </c>
      <c r="G34">
        <v>200</v>
      </c>
      <c r="H34">
        <v>248</v>
      </c>
      <c r="I34">
        <v>286</v>
      </c>
      <c r="J34">
        <v>326</v>
      </c>
      <c r="K34">
        <v>381</v>
      </c>
      <c r="L34">
        <v>425</v>
      </c>
      <c r="M34">
        <v>468</v>
      </c>
    </row>
    <row r="35" spans="1:13" x14ac:dyDescent="0.25">
      <c r="A35" t="s">
        <v>39</v>
      </c>
      <c r="B35">
        <v>4320</v>
      </c>
      <c r="C35">
        <v>74.099999999999994</v>
      </c>
      <c r="D35">
        <v>89.6</v>
      </c>
      <c r="E35">
        <v>141</v>
      </c>
      <c r="F35">
        <v>178</v>
      </c>
      <c r="G35">
        <v>217</v>
      </c>
      <c r="H35">
        <v>266</v>
      </c>
      <c r="I35">
        <v>304</v>
      </c>
      <c r="J35">
        <v>342</v>
      </c>
      <c r="K35">
        <v>394</v>
      </c>
      <c r="L35">
        <v>435</v>
      </c>
      <c r="M35">
        <v>478</v>
      </c>
    </row>
    <row r="36" spans="1:13" x14ac:dyDescent="0.25">
      <c r="A36" t="s">
        <v>40</v>
      </c>
      <c r="B36">
        <v>5760</v>
      </c>
      <c r="C36">
        <v>78.2</v>
      </c>
      <c r="D36">
        <v>94.6</v>
      </c>
      <c r="E36">
        <v>148</v>
      </c>
      <c r="F36">
        <v>186</v>
      </c>
      <c r="G36">
        <v>225</v>
      </c>
      <c r="H36">
        <v>274</v>
      </c>
      <c r="I36">
        <v>311</v>
      </c>
      <c r="J36">
        <v>349</v>
      </c>
      <c r="K36">
        <v>399</v>
      </c>
      <c r="L36">
        <v>438</v>
      </c>
      <c r="M36">
        <v>481</v>
      </c>
    </row>
    <row r="37" spans="1:13" x14ac:dyDescent="0.25">
      <c r="A37" t="s">
        <v>41</v>
      </c>
      <c r="B37">
        <v>7200</v>
      </c>
      <c r="C37">
        <v>80.900000000000006</v>
      </c>
      <c r="D37">
        <v>97.9</v>
      </c>
      <c r="E37">
        <v>153</v>
      </c>
      <c r="F37">
        <v>191</v>
      </c>
      <c r="G37">
        <v>231</v>
      </c>
      <c r="H37">
        <v>279</v>
      </c>
      <c r="I37">
        <v>316</v>
      </c>
      <c r="J37">
        <v>353</v>
      </c>
      <c r="K37">
        <v>403</v>
      </c>
      <c r="L37">
        <v>440</v>
      </c>
      <c r="M37">
        <v>485</v>
      </c>
    </row>
    <row r="38" spans="1:13" x14ac:dyDescent="0.25">
      <c r="A38" t="s">
        <v>42</v>
      </c>
      <c r="B38">
        <v>8640</v>
      </c>
      <c r="C38">
        <v>82.9</v>
      </c>
      <c r="D38">
        <v>100</v>
      </c>
      <c r="E38">
        <v>156</v>
      </c>
      <c r="F38">
        <v>195</v>
      </c>
      <c r="G38">
        <v>234</v>
      </c>
      <c r="H38">
        <v>283</v>
      </c>
      <c r="I38">
        <v>319</v>
      </c>
      <c r="J38">
        <v>356</v>
      </c>
      <c r="K38">
        <v>406</v>
      </c>
      <c r="L38">
        <v>444</v>
      </c>
      <c r="M38">
        <v>491</v>
      </c>
    </row>
    <row r="39" spans="1:13" x14ac:dyDescent="0.25">
      <c r="A39" t="s">
        <v>43</v>
      </c>
      <c r="B39">
        <v>10080</v>
      </c>
      <c r="C39">
        <v>84.3</v>
      </c>
      <c r="D39">
        <v>102</v>
      </c>
      <c r="E39">
        <v>158</v>
      </c>
      <c r="F39">
        <v>198</v>
      </c>
      <c r="G39">
        <v>237</v>
      </c>
      <c r="H39">
        <v>286</v>
      </c>
      <c r="I39">
        <v>323</v>
      </c>
      <c r="J39">
        <v>359</v>
      </c>
      <c r="K39">
        <v>411</v>
      </c>
      <c r="L39">
        <v>449</v>
      </c>
      <c r="M39">
        <v>498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455F-8B0B-4EE8-A131-54EC52F3D2BE}">
  <sheetPr codeName="Sheet2"/>
  <dimension ref="A1:Z37"/>
  <sheetViews>
    <sheetView tabSelected="1" workbookViewId="0">
      <selection activeCell="Q5" sqref="Q5"/>
    </sheetView>
  </sheetViews>
  <sheetFormatPr defaultRowHeight="15" x14ac:dyDescent="0.25"/>
  <cols>
    <col min="1" max="1" width="16.85546875" bestFit="1" customWidth="1"/>
    <col min="2" max="2" width="12.42578125" customWidth="1"/>
  </cols>
  <sheetData>
    <row r="1" spans="1:26" x14ac:dyDescent="0.25">
      <c r="A1" t="s">
        <v>51</v>
      </c>
      <c r="B1">
        <v>3</v>
      </c>
      <c r="G1" t="s">
        <v>49</v>
      </c>
      <c r="H1" cm="1">
        <f t="array" ref="H1:R1">_xlfn.LET(
_xlpm.data,raw_IFD!C10:AZ10,
_xlpm.filtered,_xlfn._xlws.FILTER((_xlpm.data),_xlpm.data&lt;&gt;0),
_xlpm.filtered
)</f>
        <v>0.63200000000000001</v>
      </c>
      <c r="I1">
        <v>0.5</v>
      </c>
      <c r="J1">
        <v>0.2</v>
      </c>
      <c r="K1">
        <v>0.1</v>
      </c>
      <c r="L1">
        <v>0.05</v>
      </c>
      <c r="M1">
        <v>0.02</v>
      </c>
      <c r="N1">
        <v>0.01</v>
      </c>
      <c r="O1" t="str">
        <v>1 in 200</v>
      </c>
      <c r="P1" t="str">
        <v>1 in 500</v>
      </c>
      <c r="Q1" t="str">
        <v>1 in 1000</v>
      </c>
      <c r="R1" t="str">
        <v>1 in 2000</v>
      </c>
    </row>
    <row r="2" spans="1:26" s="2" customFormat="1" x14ac:dyDescent="0.25">
      <c r="A2" s="2" t="str">
        <f>raw_IFD!C7</f>
        <v>22.5875 (S)</v>
      </c>
      <c r="B2" s="2" t="str">
        <f>LEFT(A2, FIND(" ", A2) - 1)</f>
        <v>22.5875</v>
      </c>
      <c r="G2" s="2" t="s">
        <v>50</v>
      </c>
      <c r="H2" s="2" cm="1">
        <f t="array" ref="H2:R2">_xlfn.XLOOKUP(_xlfn.ANCHORARRAY(H1),raw_IFD!10:10,raw_IFD!10:10,NA(),0)</f>
        <v>0.63200000000000001</v>
      </c>
      <c r="I2" s="2">
        <v>0.5</v>
      </c>
      <c r="J2" s="2">
        <v>0.2</v>
      </c>
      <c r="K2" s="2">
        <v>0.1</v>
      </c>
      <c r="L2" s="2">
        <v>0.05</v>
      </c>
      <c r="M2" s="2">
        <v>0.02</v>
      </c>
      <c r="N2" s="2">
        <v>0.01</v>
      </c>
      <c r="O2" s="2" t="str">
        <v>1 in 200</v>
      </c>
      <c r="P2" s="2" t="str">
        <v>1 in 500</v>
      </c>
      <c r="Q2" s="2" t="str">
        <v>1 in 1000</v>
      </c>
      <c r="R2" s="2" t="str">
        <v>1 in 2000</v>
      </c>
    </row>
    <row r="3" spans="1:26" x14ac:dyDescent="0.25">
      <c r="A3" t="str">
        <f>raw_IFD!E7</f>
        <v>117.0125 (E)</v>
      </c>
      <c r="B3" s="2" t="str">
        <f>LEFT(A3, FIND(" ", A3) - 1)</f>
        <v>117.0125</v>
      </c>
      <c r="G3" t="s">
        <v>45</v>
      </c>
      <c r="N3">
        <v>0.5</v>
      </c>
      <c r="P3">
        <v>0.2</v>
      </c>
      <c r="R3">
        <v>0.1</v>
      </c>
      <c r="S3">
        <v>0.05</v>
      </c>
      <c r="T3">
        <v>0.02</v>
      </c>
      <c r="U3">
        <v>0.01</v>
      </c>
      <c r="V3" t="s">
        <v>11</v>
      </c>
      <c r="W3" t="s">
        <v>12</v>
      </c>
    </row>
    <row r="4" spans="1:26" s="2" customFormat="1" x14ac:dyDescent="0.25">
      <c r="G4" s="2" t="s">
        <v>46</v>
      </c>
      <c r="H4" s="2" cm="1">
        <f t="array" ref="H4:O4">_xlfn.LET(
    _xlpm.source,_xlfn.ANCHORARRAY( H1),
    _xlpm.filterCriteria, H3:AZ3,
    _xlpm.filteredResults, _xlfn._xlws.FILTER(_xlpm.source, COUNTIF(_xlpm.filterCriteria, _xlpm.source) &gt; 0),
    _xlpm.filteredResults
)</f>
        <v>0.5</v>
      </c>
      <c r="I4" s="2">
        <v>0.2</v>
      </c>
      <c r="J4" s="2">
        <v>0.1</v>
      </c>
      <c r="K4" s="2">
        <v>0.05</v>
      </c>
      <c r="L4" s="2">
        <v>0.02</v>
      </c>
      <c r="M4" s="2">
        <v>0.01</v>
      </c>
      <c r="N4" s="2" t="str">
        <v>1 in 200</v>
      </c>
      <c r="O4" s="2" t="str">
        <v>1 in 500</v>
      </c>
    </row>
    <row r="5" spans="1:26" s="2" customFormat="1" x14ac:dyDescent="0.25">
      <c r="G5" s="2" t="s">
        <v>48</v>
      </c>
      <c r="H5" s="2" cm="1">
        <f t="array" ref="H5:O5">_xlfn.XLOOKUP(_xlfn.ANCHORARRAY(H4),_xlfn.ANCHORARRAY(H1),_xlfn.ANCHORARRAY(H2),NA(),0)</f>
        <v>0.5</v>
      </c>
      <c r="I5" s="2">
        <v>0.2</v>
      </c>
      <c r="J5" s="2">
        <v>0.1</v>
      </c>
      <c r="K5" s="2">
        <v>0.05</v>
      </c>
      <c r="L5" s="2">
        <v>0.02</v>
      </c>
      <c r="M5" s="2">
        <v>0.01</v>
      </c>
      <c r="N5" s="2" t="str">
        <v>1 in 200</v>
      </c>
      <c r="O5" s="2" t="str">
        <v>1 in 500</v>
      </c>
    </row>
    <row r="7" spans="1:26" x14ac:dyDescent="0.25">
      <c r="G7" s="2" t="str">
        <f>_xlfn.CONCAT("IFD data for ",B2, "°S, ", B3,"°E (rainfall event depth, mm)")</f>
        <v>IFD data for 22.5875°S, 117.0125°E (rainfall event depth, mm)</v>
      </c>
      <c r="N7" s="8" t="s">
        <v>54</v>
      </c>
      <c r="R7" s="7" t="str">
        <f>G7</f>
        <v>IFD data for 22.5875°S, 117.0125°E (rainfall event depth, mm)</v>
      </c>
      <c r="Y7" s="8" t="s">
        <v>55</v>
      </c>
    </row>
    <row r="8" spans="1:26" s="2" customFormat="1" x14ac:dyDescent="0.25">
      <c r="A8" s="2" t="s">
        <v>44</v>
      </c>
      <c r="B8" s="2" t="s">
        <v>47</v>
      </c>
      <c r="C8" s="2" t="s">
        <v>45</v>
      </c>
      <c r="D8" s="2" t="s">
        <v>46</v>
      </c>
      <c r="E8" s="2" t="s">
        <v>48</v>
      </c>
      <c r="G8" s="2" t="s">
        <v>10</v>
      </c>
      <c r="H8" s="4" cm="1">
        <f t="array" ref="H8:O8">_xlfn.ANCHORARRAY(H5)</f>
        <v>0.5</v>
      </c>
      <c r="I8" s="5">
        <v>0.2</v>
      </c>
      <c r="J8" s="5">
        <v>0.1</v>
      </c>
      <c r="K8" s="5">
        <v>0.05</v>
      </c>
      <c r="L8" s="5">
        <v>0.02</v>
      </c>
      <c r="M8" s="5">
        <v>0.01</v>
      </c>
      <c r="N8" s="5" t="str">
        <v>1 in 200</v>
      </c>
      <c r="O8" s="2" t="str">
        <v>1 in 500</v>
      </c>
      <c r="R8" s="2" t="s">
        <v>10</v>
      </c>
      <c r="S8" s="4" cm="1">
        <f t="array" ref="S8:Z8">_xlfn.ANCHORARRAY(H8)</f>
        <v>0.5</v>
      </c>
      <c r="T8" s="5">
        <v>0.2</v>
      </c>
      <c r="U8" s="5">
        <v>0.1</v>
      </c>
      <c r="V8" s="5">
        <v>0.05</v>
      </c>
      <c r="W8" s="5">
        <v>0.02</v>
      </c>
      <c r="X8" s="5">
        <v>0.01</v>
      </c>
      <c r="Y8" s="5" t="str">
        <v>1 in 200</v>
      </c>
      <c r="Z8" s="2" t="str">
        <v>1 in 500</v>
      </c>
    </row>
    <row r="9" spans="1:26" x14ac:dyDescent="0.25">
      <c r="A9" cm="1">
        <f t="array" ref="A9:A37">_xlfn.LET(
    _xlpm.data, raw_IFD!B11:B50,
    _xlpm.filtered, _xlfn._xlws.FILTER((_xlpm.data), _xlpm.data &lt;&gt;0),
    _xlpm.filtered
)</f>
        <v>1</v>
      </c>
      <c r="B9" t="str" cm="1">
        <f t="array" ref="B9:B37">_xlfn.XLOOKUP(_xlfn.ANCHORARRAY(A9),raw_IFD!B:B,raw_IFD!A:A,NA(),0)</f>
        <v>1 min</v>
      </c>
      <c r="D9" cm="1">
        <f t="array" ref="D9:D20">_xlfn.LET(
    _xlpm.source,_xlfn.ANCHORARRAY( A9),
    _xlpm.filterCriteria, C9:C1004,
    _xlpm.filteredResults, _xlfn._xlws.FILTER(_xlpm.source, COUNTIF(_xlpm.filterCriteria, _xlpm.source) &gt; 0),
    _xlpm.filteredResults
)</f>
        <v>60</v>
      </c>
      <c r="E9" t="str" cm="1">
        <f t="array" ref="E9:E20">_xlfn.XLOOKUP(_xlfn.ANCHORARRAY(D9),_xlfn.ANCHORARRAY(A9),_xlfn.ANCHORARRAY(B9),NA(),0)</f>
        <v>1 hour</v>
      </c>
      <c r="G9" t="str" cm="1">
        <f t="array" ref="G9:G20">_xlfn.ANCHORARRAY(E9)</f>
        <v>1 hour</v>
      </c>
      <c r="H9" s="3" t="str" cm="1">
        <f t="array" ref="H9:O20">_xlfn.LET(
    _xlpm.columnHeader,_xlfn.ANCHORARRAY( H8),
    _xlpm.rowLabel,_xlfn.ANCHORARRAY( G9),
    _xlpm.dataRange, raw_IFD!C11:AZ200,
    _xlpm.columnRange, raw_IFD!C10:AZ10,
    _xlpm.rowRange, raw_IFD!A11:A200,
    _xlpm.sigFigs, B1,
    _xlpm.value, INDEX(_xlpm.dataRange, MATCH(_xlpm.rowLabel, _xlpm.rowRange, 0), MATCH(_xlpm.columnHeader, _xlpm.columnRange, 0)),
    _xlpm.significantFigures, _xlpm.sigFigs - INT(LOG10(ABS(_xlpm.value))) - 1,
    _xlpm.roundedValue, ROUND(_xlpm.value, _xlpm.significantFigures),
    _xlpm.formattedValue, IF(
        _xlpm.significantFigures &gt; 0,
        TEXT(_xlpm.roundedValue, "0." &amp; REPT("0", _xlpm.significantFigures)),
        TEXT(_xlpm.roundedValue, "0")
    ),
    _xlpm.formattedValue
)</f>
        <v>26.4</v>
      </c>
      <c r="I9" s="3" t="str">
        <v>37.9</v>
      </c>
      <c r="J9" s="3" t="str">
        <v>45.8</v>
      </c>
      <c r="K9" s="3" t="str">
        <v>53.7</v>
      </c>
      <c r="L9" s="3" t="str">
        <v>64.1</v>
      </c>
      <c r="M9" s="3" t="str">
        <v>72.2</v>
      </c>
      <c r="N9" s="3" t="str">
        <v>82.3</v>
      </c>
      <c r="O9" t="str">
        <v>96.8</v>
      </c>
      <c r="R9" t="str" cm="1">
        <f t="array" ref="R9:R20">_xlfn.ANCHORARRAY(G9)</f>
        <v>1 hour</v>
      </c>
      <c r="S9" s="3" t="str" cm="1">
        <f t="array" ref="S9:Z20">_xlfn.LET(
    _xlpm.columnHeader,_xlfn.ANCHORARRAY( H8),
    _xlpm.rowLabel,_xlfn.ANCHORARRAY( G9),
    _xlpm.dataRange, raw_IFD!C11:AZ200,
    _xlpm.columnRange, raw_IFD!C10:AZ10,
    _xlpm.rowRange, raw_IFD!A11:A200,
    _xlpm.sigFigs, B1,
    _xlpm.value, INDEX(_xlpm.dataRange, MATCH(_xlpm.rowLabel, _xlpm.rowRange, 0), MATCH(_xlpm.columnHeader, _xlpm.columnRange, 0)),
    _xlpm.intDigits, INT(LOG10(ABS(_xlpm.value))) + 1,
    _xlpm.roundedValue, IF(
        _xlpm.intDigits &gt;= _xlpm.sigFigs,
        ROUND(_xlpm.value, 0),
        ROUND(_xlpm.value, _xlpm.sigFigs - _xlpm.intDigits)
    ),
    _xlpm.formattedValue, IF(
        _xlpm.sigFigs - _xlpm.intDigits &gt; 0,
        TEXT(_xlpm.roundedValue, "0." &amp; REPT("0", _xlpm.sigFigs - _xlpm.intDigits)),
        TEXT(_xlpm.roundedValue, "0")
    ),
    _xlpm.formattedValue
)</f>
        <v>26.4</v>
      </c>
      <c r="T9" s="3" t="str">
        <v>37.9</v>
      </c>
      <c r="U9" s="3" t="str">
        <v>45.8</v>
      </c>
      <c r="V9" s="3" t="str">
        <v>53.7</v>
      </c>
      <c r="W9" s="3" t="str">
        <v>64.1</v>
      </c>
      <c r="X9" s="3" t="str">
        <v>72.2</v>
      </c>
      <c r="Y9" s="3" t="str">
        <v>82.3</v>
      </c>
      <c r="Z9" t="str">
        <v>96.8</v>
      </c>
    </row>
    <row r="10" spans="1:26" x14ac:dyDescent="0.25">
      <c r="A10">
        <v>2</v>
      </c>
      <c r="B10" t="str">
        <v>2 min</v>
      </c>
      <c r="D10">
        <v>120</v>
      </c>
      <c r="E10" t="str">
        <v>2 hour</v>
      </c>
      <c r="G10" t="str">
        <v>2 hour</v>
      </c>
      <c r="H10" s="3" t="str">
        <v>32.3</v>
      </c>
      <c r="I10" s="3" t="str">
        <v>46.9</v>
      </c>
      <c r="J10" s="3" t="str">
        <v>57.1</v>
      </c>
      <c r="K10" s="3" t="str">
        <v>67.2</v>
      </c>
      <c r="L10" s="3" t="str">
        <v>80.9</v>
      </c>
      <c r="M10" s="3" t="str">
        <v>91.7</v>
      </c>
      <c r="N10" s="3" t="str">
        <v>104</v>
      </c>
      <c r="O10" t="str">
        <v>123</v>
      </c>
      <c r="R10" t="str">
        <v>2 hour</v>
      </c>
      <c r="S10" s="3" t="str">
        <v>32.3</v>
      </c>
      <c r="T10" s="3" t="str">
        <v>46.9</v>
      </c>
      <c r="U10" s="3" t="str">
        <v>57.1</v>
      </c>
      <c r="V10" s="3" t="str">
        <v>67.2</v>
      </c>
      <c r="W10" s="3" t="str">
        <v>80.9</v>
      </c>
      <c r="X10" s="3" t="str">
        <v>91.7</v>
      </c>
      <c r="Y10" s="3" t="str">
        <v>104</v>
      </c>
      <c r="Z10" t="str">
        <v>123</v>
      </c>
    </row>
    <row r="11" spans="1:26" x14ac:dyDescent="0.25">
      <c r="A11">
        <v>3</v>
      </c>
      <c r="B11" t="str">
        <v>3 min</v>
      </c>
      <c r="D11">
        <v>180</v>
      </c>
      <c r="E11" t="str">
        <v>3 hour</v>
      </c>
      <c r="G11" t="str">
        <v>3 hour</v>
      </c>
      <c r="H11" s="3" t="str">
        <v>36.2</v>
      </c>
      <c r="I11" s="3" t="str">
        <v>53.0</v>
      </c>
      <c r="J11" s="3" t="str">
        <v>64.9</v>
      </c>
      <c r="K11" s="3" t="str">
        <v>76.9</v>
      </c>
      <c r="L11" s="3" t="str">
        <v>93.4</v>
      </c>
      <c r="M11" s="3" t="str">
        <v>106</v>
      </c>
      <c r="N11" s="3" t="str">
        <v>121</v>
      </c>
      <c r="O11" t="str">
        <v>143</v>
      </c>
      <c r="R11" t="str">
        <v>3 hour</v>
      </c>
      <c r="S11" s="3" t="str">
        <v>36.2</v>
      </c>
      <c r="T11" s="3" t="str">
        <v>53.0</v>
      </c>
      <c r="U11" s="3" t="str">
        <v>64.9</v>
      </c>
      <c r="V11" s="3" t="str">
        <v>76.9</v>
      </c>
      <c r="W11" s="3" t="str">
        <v>93.4</v>
      </c>
      <c r="X11" s="3" t="str">
        <v>106</v>
      </c>
      <c r="Y11" s="3" t="str">
        <v>121</v>
      </c>
      <c r="Z11" t="str">
        <v>143</v>
      </c>
    </row>
    <row r="12" spans="1:26" x14ac:dyDescent="0.25">
      <c r="A12">
        <v>4</v>
      </c>
      <c r="B12" t="str">
        <v>4 min</v>
      </c>
      <c r="D12">
        <v>360</v>
      </c>
      <c r="E12" t="str">
        <v>6 hour</v>
      </c>
      <c r="G12" t="str">
        <v>6 hour</v>
      </c>
      <c r="H12" s="3" t="str">
        <v>44.1</v>
      </c>
      <c r="I12" s="3" t="str">
        <v>66.2</v>
      </c>
      <c r="J12" s="3" t="str">
        <v>82.2</v>
      </c>
      <c r="K12" s="3" t="str">
        <v>98.7</v>
      </c>
      <c r="L12" s="3" t="str">
        <v>122</v>
      </c>
      <c r="M12" s="3" t="str">
        <v>140</v>
      </c>
      <c r="N12" s="3" t="str">
        <v>160</v>
      </c>
      <c r="O12" t="str">
        <v>189</v>
      </c>
      <c r="R12" t="str">
        <v>6 hour</v>
      </c>
      <c r="S12" s="3" t="str">
        <v>44.1</v>
      </c>
      <c r="T12" s="3" t="str">
        <v>66.2</v>
      </c>
      <c r="U12" s="3" t="str">
        <v>82.2</v>
      </c>
      <c r="V12" s="3" t="str">
        <v>98.7</v>
      </c>
      <c r="W12" s="3" t="str">
        <v>122</v>
      </c>
      <c r="X12" s="3" t="str">
        <v>140</v>
      </c>
      <c r="Y12" s="3" t="str">
        <v>160</v>
      </c>
      <c r="Z12" t="str">
        <v>189</v>
      </c>
    </row>
    <row r="13" spans="1:26" x14ac:dyDescent="0.25">
      <c r="A13">
        <v>5</v>
      </c>
      <c r="B13" t="str">
        <v>5 min</v>
      </c>
      <c r="D13">
        <v>540</v>
      </c>
      <c r="E13" t="str">
        <v>9 hour</v>
      </c>
      <c r="G13" t="str">
        <v>9 hour</v>
      </c>
      <c r="H13" s="3" t="str">
        <v>49.8</v>
      </c>
      <c r="I13" s="3" t="str">
        <v>76.0</v>
      </c>
      <c r="J13" s="3" t="str">
        <v>95.2</v>
      </c>
      <c r="K13" s="3" t="str">
        <v>115</v>
      </c>
      <c r="L13" s="3" t="str">
        <v>143</v>
      </c>
      <c r="M13" s="3" t="str">
        <v>166</v>
      </c>
      <c r="N13" s="3" t="str">
        <v>189</v>
      </c>
      <c r="O13" t="str">
        <v>224</v>
      </c>
      <c r="R13" t="str">
        <v>9 hour</v>
      </c>
      <c r="S13" s="3" t="str">
        <v>49.8</v>
      </c>
      <c r="T13" s="3" t="str">
        <v>76.0</v>
      </c>
      <c r="U13" s="3" t="str">
        <v>95.2</v>
      </c>
      <c r="V13" s="3" t="str">
        <v>115</v>
      </c>
      <c r="W13" s="3" t="str">
        <v>143</v>
      </c>
      <c r="X13" s="3" t="str">
        <v>166</v>
      </c>
      <c r="Y13" s="3" t="str">
        <v>189</v>
      </c>
      <c r="Z13" t="str">
        <v>224</v>
      </c>
    </row>
    <row r="14" spans="1:26" x14ac:dyDescent="0.25">
      <c r="A14">
        <v>10</v>
      </c>
      <c r="B14" t="str">
        <v>10 min</v>
      </c>
      <c r="D14">
        <v>720</v>
      </c>
      <c r="E14" t="str">
        <v>12 hour</v>
      </c>
      <c r="G14" t="str">
        <v>12 hour</v>
      </c>
      <c r="H14" s="3" t="str">
        <v>54.4</v>
      </c>
      <c r="I14" s="3" t="str">
        <v>83.9</v>
      </c>
      <c r="J14" s="3" t="str">
        <v>106</v>
      </c>
      <c r="K14" s="3" t="str">
        <v>128</v>
      </c>
      <c r="L14" s="3" t="str">
        <v>160</v>
      </c>
      <c r="M14" s="3" t="str">
        <v>186</v>
      </c>
      <c r="N14" s="3" t="str">
        <v>213</v>
      </c>
      <c r="O14" t="str">
        <v>252</v>
      </c>
      <c r="R14" t="str">
        <v>12 hour</v>
      </c>
      <c r="S14" s="3" t="str">
        <v>54.4</v>
      </c>
      <c r="T14" s="3" t="str">
        <v>83.9</v>
      </c>
      <c r="U14" s="3" t="str">
        <v>106</v>
      </c>
      <c r="V14" s="3" t="str">
        <v>128</v>
      </c>
      <c r="W14" s="3" t="str">
        <v>160</v>
      </c>
      <c r="X14" s="3" t="str">
        <v>186</v>
      </c>
      <c r="Y14" s="3" t="str">
        <v>213</v>
      </c>
      <c r="Z14" t="str">
        <v>252</v>
      </c>
    </row>
    <row r="15" spans="1:26" x14ac:dyDescent="0.25">
      <c r="A15">
        <v>15</v>
      </c>
      <c r="B15" t="str">
        <v>15 min</v>
      </c>
      <c r="D15">
        <v>1080</v>
      </c>
      <c r="E15" t="str">
        <v>18 hour</v>
      </c>
      <c r="G15" t="str">
        <v>18 hour</v>
      </c>
      <c r="H15" s="3" t="str">
        <v>61.7</v>
      </c>
      <c r="I15" s="3" t="str">
        <v>96.4</v>
      </c>
      <c r="J15" s="3" t="str">
        <v>122</v>
      </c>
      <c r="K15" s="3" t="str">
        <v>149</v>
      </c>
      <c r="L15" s="3" t="str">
        <v>187</v>
      </c>
      <c r="M15" s="3" t="str">
        <v>218</v>
      </c>
      <c r="N15" s="3" t="str">
        <v>248</v>
      </c>
      <c r="O15" t="str">
        <v>293</v>
      </c>
      <c r="R15" t="str">
        <v>18 hour</v>
      </c>
      <c r="S15" s="3" t="str">
        <v>61.7</v>
      </c>
      <c r="T15" s="3" t="str">
        <v>96.4</v>
      </c>
      <c r="U15" s="3" t="str">
        <v>122</v>
      </c>
      <c r="V15" s="3" t="str">
        <v>149</v>
      </c>
      <c r="W15" s="3" t="str">
        <v>187</v>
      </c>
      <c r="X15" s="3" t="str">
        <v>218</v>
      </c>
      <c r="Y15" s="3" t="str">
        <v>248</v>
      </c>
      <c r="Z15" t="str">
        <v>293</v>
      </c>
    </row>
    <row r="16" spans="1:26" x14ac:dyDescent="0.25">
      <c r="A16">
        <v>20</v>
      </c>
      <c r="B16" t="str">
        <v>20 min</v>
      </c>
      <c r="D16">
        <v>1440</v>
      </c>
      <c r="E16" t="str">
        <v>24 hour</v>
      </c>
      <c r="G16" t="str">
        <v>24 hour</v>
      </c>
      <c r="H16" s="3" t="str">
        <v>67.4</v>
      </c>
      <c r="I16" s="3" t="str">
        <v>106</v>
      </c>
      <c r="J16" s="3" t="str">
        <v>135</v>
      </c>
      <c r="K16" s="3" t="str">
        <v>165</v>
      </c>
      <c r="L16" s="3" t="str">
        <v>206</v>
      </c>
      <c r="M16" s="3" t="str">
        <v>240</v>
      </c>
      <c r="N16" s="3" t="str">
        <v>274</v>
      </c>
      <c r="O16" t="str">
        <v>323</v>
      </c>
      <c r="R16" t="str">
        <v>24 hour</v>
      </c>
      <c r="S16" s="3" t="str">
        <v>67.4</v>
      </c>
      <c r="T16" s="3" t="str">
        <v>106</v>
      </c>
      <c r="U16" s="3" t="str">
        <v>135</v>
      </c>
      <c r="V16" s="3" t="str">
        <v>165</v>
      </c>
      <c r="W16" s="3" t="str">
        <v>206</v>
      </c>
      <c r="X16" s="3" t="str">
        <v>240</v>
      </c>
      <c r="Y16" s="3" t="str">
        <v>274</v>
      </c>
      <c r="Z16" t="str">
        <v>323</v>
      </c>
    </row>
    <row r="17" spans="1:26" x14ac:dyDescent="0.25">
      <c r="A17">
        <v>25</v>
      </c>
      <c r="B17" t="str">
        <v>25 min</v>
      </c>
      <c r="D17">
        <v>1800</v>
      </c>
      <c r="E17" t="str">
        <v>30 hour</v>
      </c>
      <c r="G17" t="str">
        <v>30 hour</v>
      </c>
      <c r="H17" s="3" t="str">
        <v>72.0</v>
      </c>
      <c r="I17" s="3" t="str">
        <v>114</v>
      </c>
      <c r="J17" s="3" t="str">
        <v>144</v>
      </c>
      <c r="K17" s="3" t="str">
        <v>177</v>
      </c>
      <c r="L17" s="3" t="str">
        <v>221</v>
      </c>
      <c r="M17" s="3" t="str">
        <v>257</v>
      </c>
      <c r="N17" s="3" t="str">
        <v>294</v>
      </c>
      <c r="O17" t="str">
        <v>347</v>
      </c>
      <c r="R17" t="str">
        <v>30 hour</v>
      </c>
      <c r="S17" s="3" t="str">
        <v>72.0</v>
      </c>
      <c r="T17" s="3" t="str">
        <v>114</v>
      </c>
      <c r="U17" s="3" t="str">
        <v>144</v>
      </c>
      <c r="V17" s="3" t="str">
        <v>177</v>
      </c>
      <c r="W17" s="3" t="str">
        <v>221</v>
      </c>
      <c r="X17" s="3" t="str">
        <v>257</v>
      </c>
      <c r="Y17" s="3" t="str">
        <v>294</v>
      </c>
      <c r="Z17" t="str">
        <v>347</v>
      </c>
    </row>
    <row r="18" spans="1:26" x14ac:dyDescent="0.25">
      <c r="A18">
        <v>30</v>
      </c>
      <c r="B18" t="str">
        <v>30 min</v>
      </c>
      <c r="D18">
        <v>2160</v>
      </c>
      <c r="E18" t="str">
        <v>36 hour</v>
      </c>
      <c r="G18" t="str">
        <v>36 hour</v>
      </c>
      <c r="H18" s="3" t="str">
        <v>75.8</v>
      </c>
      <c r="I18" s="3" t="str">
        <v>120</v>
      </c>
      <c r="J18" s="3" t="str">
        <v>152</v>
      </c>
      <c r="K18" s="3" t="str">
        <v>186</v>
      </c>
      <c r="L18" s="3" t="str">
        <v>232</v>
      </c>
      <c r="M18" s="3" t="str">
        <v>269</v>
      </c>
      <c r="N18" s="3" t="str">
        <v>308</v>
      </c>
      <c r="O18" t="str">
        <v>363</v>
      </c>
      <c r="R18" t="str">
        <v>36 hour</v>
      </c>
      <c r="S18" s="3" t="str">
        <v>75.8</v>
      </c>
      <c r="T18" s="3" t="str">
        <v>120</v>
      </c>
      <c r="U18" s="3" t="str">
        <v>152</v>
      </c>
      <c r="V18" s="3" t="str">
        <v>186</v>
      </c>
      <c r="W18" s="3" t="str">
        <v>232</v>
      </c>
      <c r="X18" s="3" t="str">
        <v>269</v>
      </c>
      <c r="Y18" s="3" t="str">
        <v>308</v>
      </c>
      <c r="Z18" t="str">
        <v>363</v>
      </c>
    </row>
    <row r="19" spans="1:26" x14ac:dyDescent="0.25">
      <c r="A19">
        <v>45</v>
      </c>
      <c r="B19" t="str">
        <v>45 min</v>
      </c>
      <c r="D19">
        <v>2880</v>
      </c>
      <c r="E19" t="str">
        <v>48 hour</v>
      </c>
      <c r="G19" t="str">
        <v>48 hour</v>
      </c>
      <c r="H19" s="3" t="str">
        <v>81.7</v>
      </c>
      <c r="I19" s="3" t="str">
        <v>129</v>
      </c>
      <c r="J19" s="3" t="str">
        <v>164</v>
      </c>
      <c r="K19" s="3" t="str">
        <v>200</v>
      </c>
      <c r="L19" s="3" t="str">
        <v>248</v>
      </c>
      <c r="M19" s="3" t="str">
        <v>286</v>
      </c>
      <c r="N19" s="3" t="str">
        <v>326</v>
      </c>
      <c r="O19" t="str">
        <v>381</v>
      </c>
      <c r="R19" t="str">
        <v>48 hour</v>
      </c>
      <c r="S19" s="3" t="str">
        <v>81.7</v>
      </c>
      <c r="T19" s="3" t="str">
        <v>129</v>
      </c>
      <c r="U19" s="3" t="str">
        <v>164</v>
      </c>
      <c r="V19" s="3" t="str">
        <v>200</v>
      </c>
      <c r="W19" s="3" t="str">
        <v>248</v>
      </c>
      <c r="X19" s="3" t="str">
        <v>286</v>
      </c>
      <c r="Y19" s="3" t="str">
        <v>326</v>
      </c>
      <c r="Z19" t="str">
        <v>381</v>
      </c>
    </row>
    <row r="20" spans="1:26" x14ac:dyDescent="0.25">
      <c r="A20">
        <v>60</v>
      </c>
      <c r="B20" t="str">
        <v>1 hour</v>
      </c>
      <c r="C20">
        <v>60</v>
      </c>
      <c r="D20">
        <v>4320</v>
      </c>
      <c r="E20" t="str">
        <v>72 hour</v>
      </c>
      <c r="G20" t="str">
        <v>72 hour</v>
      </c>
      <c r="H20" s="3" t="str">
        <v>89.6</v>
      </c>
      <c r="I20" s="3" t="str">
        <v>141</v>
      </c>
      <c r="J20" s="3" t="str">
        <v>178</v>
      </c>
      <c r="K20" s="3" t="str">
        <v>217</v>
      </c>
      <c r="L20" s="3" t="str">
        <v>266</v>
      </c>
      <c r="M20" s="3" t="str">
        <v>304</v>
      </c>
      <c r="N20" s="3" t="str">
        <v>342</v>
      </c>
      <c r="O20" t="str">
        <v>394</v>
      </c>
      <c r="R20" t="str">
        <v>72 hour</v>
      </c>
      <c r="S20" s="3" t="str">
        <v>89.6</v>
      </c>
      <c r="T20" s="3" t="str">
        <v>141</v>
      </c>
      <c r="U20" s="3" t="str">
        <v>178</v>
      </c>
      <c r="V20" s="3" t="str">
        <v>217</v>
      </c>
      <c r="W20" s="3" t="str">
        <v>266</v>
      </c>
      <c r="X20" s="3" t="str">
        <v>304</v>
      </c>
      <c r="Y20" s="3" t="str">
        <v>342</v>
      </c>
      <c r="Z20" t="str">
        <v>394</v>
      </c>
    </row>
    <row r="21" spans="1:26" x14ac:dyDescent="0.25">
      <c r="A21">
        <v>90</v>
      </c>
      <c r="B21" t="str">
        <v>1.5 hour</v>
      </c>
      <c r="H21" s="3"/>
      <c r="I21" s="3"/>
      <c r="J21" s="3"/>
      <c r="K21" s="3"/>
      <c r="L21" s="3"/>
      <c r="M21" s="3"/>
      <c r="N21" s="3"/>
    </row>
    <row r="22" spans="1:26" x14ac:dyDescent="0.25">
      <c r="A22">
        <v>120</v>
      </c>
      <c r="B22" t="str">
        <v>2 hour</v>
      </c>
      <c r="C22">
        <v>120</v>
      </c>
      <c r="H22" s="3"/>
      <c r="I22" s="3"/>
      <c r="J22" s="3"/>
      <c r="K22" s="3"/>
      <c r="L22" s="3"/>
      <c r="M22" s="3"/>
      <c r="N22" s="3"/>
    </row>
    <row r="23" spans="1:26" x14ac:dyDescent="0.25">
      <c r="A23">
        <v>180</v>
      </c>
      <c r="B23" t="str">
        <v>3 hour</v>
      </c>
      <c r="C23">
        <v>180</v>
      </c>
      <c r="H23" s="3"/>
      <c r="I23" s="3"/>
      <c r="J23" s="3"/>
      <c r="K23" s="3"/>
      <c r="L23" s="3"/>
      <c r="M23" s="3"/>
      <c r="N23" s="3"/>
    </row>
    <row r="24" spans="1:26" x14ac:dyDescent="0.25">
      <c r="A24">
        <v>270</v>
      </c>
      <c r="B24" t="str">
        <v>4.5 hour</v>
      </c>
      <c r="H24" s="3"/>
      <c r="I24" s="3"/>
      <c r="J24" s="3"/>
      <c r="K24" s="3"/>
      <c r="L24" s="3"/>
      <c r="M24" s="3"/>
      <c r="N24" s="3"/>
    </row>
    <row r="25" spans="1:26" x14ac:dyDescent="0.25">
      <c r="A25">
        <v>360</v>
      </c>
      <c r="B25" t="str">
        <v>6 hour</v>
      </c>
      <c r="C25">
        <v>360</v>
      </c>
      <c r="H25" s="3"/>
      <c r="I25" s="3"/>
      <c r="J25" s="3"/>
      <c r="K25" s="3"/>
      <c r="L25" s="3"/>
      <c r="M25" s="3"/>
      <c r="N25" s="3"/>
    </row>
    <row r="26" spans="1:26" x14ac:dyDescent="0.25">
      <c r="A26">
        <v>540</v>
      </c>
      <c r="B26" t="str">
        <v>9 hour</v>
      </c>
      <c r="C26">
        <v>540</v>
      </c>
      <c r="H26" s="3"/>
      <c r="I26" s="3"/>
      <c r="J26" s="3"/>
      <c r="K26" s="3"/>
      <c r="L26" s="3"/>
      <c r="M26" s="3"/>
      <c r="N26" s="3"/>
    </row>
    <row r="27" spans="1:26" x14ac:dyDescent="0.25">
      <c r="A27">
        <v>720</v>
      </c>
      <c r="B27" t="str">
        <v>12 hour</v>
      </c>
      <c r="C27">
        <v>720</v>
      </c>
      <c r="H27" s="3"/>
      <c r="I27" s="3"/>
      <c r="J27" s="3"/>
      <c r="K27" s="3"/>
      <c r="L27" s="3"/>
      <c r="M27" s="3"/>
      <c r="N27" s="3"/>
    </row>
    <row r="28" spans="1:26" x14ac:dyDescent="0.25">
      <c r="A28">
        <v>1080</v>
      </c>
      <c r="B28" t="str">
        <v>18 hour</v>
      </c>
      <c r="C28">
        <v>1080</v>
      </c>
    </row>
    <row r="29" spans="1:26" x14ac:dyDescent="0.25">
      <c r="A29">
        <v>1440</v>
      </c>
      <c r="B29" t="str">
        <v>24 hour</v>
      </c>
      <c r="C29">
        <v>1440</v>
      </c>
    </row>
    <row r="30" spans="1:26" x14ac:dyDescent="0.25">
      <c r="A30">
        <v>1800</v>
      </c>
      <c r="B30" t="str">
        <v>30 hour</v>
      </c>
      <c r="C30">
        <v>1800</v>
      </c>
    </row>
    <row r="31" spans="1:26" x14ac:dyDescent="0.25">
      <c r="A31">
        <v>2160</v>
      </c>
      <c r="B31" t="str">
        <v>36 hour</v>
      </c>
      <c r="C31">
        <v>2160</v>
      </c>
    </row>
    <row r="32" spans="1:26" x14ac:dyDescent="0.25">
      <c r="A32">
        <v>2880</v>
      </c>
      <c r="B32" t="str">
        <v>48 hour</v>
      </c>
      <c r="C32">
        <v>2880</v>
      </c>
    </row>
    <row r="33" spans="1:3" x14ac:dyDescent="0.25">
      <c r="A33">
        <v>4320</v>
      </c>
      <c r="B33" t="str">
        <v>72 hour</v>
      </c>
      <c r="C33">
        <v>4320</v>
      </c>
    </row>
    <row r="34" spans="1:3" x14ac:dyDescent="0.25">
      <c r="A34">
        <v>5760</v>
      </c>
      <c r="B34" t="str">
        <v>96 hour</v>
      </c>
    </row>
    <row r="35" spans="1:3" x14ac:dyDescent="0.25">
      <c r="A35">
        <v>7200</v>
      </c>
      <c r="B35" t="str">
        <v>120 hour</v>
      </c>
    </row>
    <row r="36" spans="1:3" x14ac:dyDescent="0.25">
      <c r="A36">
        <v>8640</v>
      </c>
      <c r="B36" t="str">
        <v>144 hour</v>
      </c>
    </row>
    <row r="37" spans="1:3" x14ac:dyDescent="0.25">
      <c r="A37">
        <v>10080</v>
      </c>
      <c r="B37" t="str">
        <v>168 hour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raw_IFD</vt:lpstr>
      <vt:lpstr>formatted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</dc:creator>
  <cp:lastModifiedBy>Ryan Brook</cp:lastModifiedBy>
  <dcterms:created xsi:type="dcterms:W3CDTF">2024-10-27T03:57:17Z</dcterms:created>
  <dcterms:modified xsi:type="dcterms:W3CDTF">2026-06-21T03:47:03Z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2024-11-27T03:26:15Z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d3c0d71c-0375-4e7c-8194-35c953f312bf</vt:lpwstr>
  </property>
  <property fmtid="{D5CDD505-2E9C-101B-9397-08002B2CF9AE}" pid="7" name="MSIP_Label_defa4170-0d19-0005-0004-bc88714345d2_ActionId">
    <vt:lpwstr>539fad16-455c-4b14-b045-260f7a9ddcd4</vt:lpwstr>
  </property>
  <property fmtid="{D5CDD505-2E9C-101B-9397-08002B2CF9AE}" pid="8" name="MSIP_Label_defa4170-0d19-0005-0004-bc88714345d2_ContentBits">
    <vt:lpwstr>0</vt:lpwstr>
  </property>
</Properties>
</file>